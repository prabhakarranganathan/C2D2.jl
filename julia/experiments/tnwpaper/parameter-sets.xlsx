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800" yWindow="1020" windowWidth="26000" windowHeight="18360" tabRatio="600" firstSheet="0" activeTab="8" autoFilterDateGrouping="1"/>
  </bookViews>
  <sheets>
    <sheet xmlns:r="http://schemas.openxmlformats.org/officeDocument/2006/relationships" name="Plan_Exptl" sheetId="1" state="visible" r:id="rId1"/>
    <sheet xmlns:r="http://schemas.openxmlformats.org/officeDocument/2006/relationships" name="Gaillard_visc" sheetId="2" state="visible" r:id="rId2"/>
    <sheet xmlns:r="http://schemas.openxmlformats.org/officeDocument/2006/relationships" name="Gaillard_aq" sheetId="3" state="visible" r:id="rId3"/>
    <sheet xmlns:r="http://schemas.openxmlformats.org/officeDocument/2006/relationships" name="Anna" sheetId="4" state="visible" r:id="rId4"/>
    <sheet xmlns:r="http://schemas.openxmlformats.org/officeDocument/2006/relationships" name="Clasen" sheetId="5" state="visible" r:id="rId5"/>
    <sheet xmlns:r="http://schemas.openxmlformats.org/officeDocument/2006/relationships" name="Calabrese" sheetId="6" state="visible" r:id="rId6"/>
    <sheet xmlns:r="http://schemas.openxmlformats.org/officeDocument/2006/relationships" name="Gaillard_expdata" sheetId="7" state="visible" r:id="rId7"/>
    <sheet xmlns:r="http://schemas.openxmlformats.org/officeDocument/2006/relationships" name="Anna_expdata" sheetId="8" state="visible" r:id="rId8"/>
    <sheet xmlns:r="http://schemas.openxmlformats.org/officeDocument/2006/relationships" name="Clasen_expdata" sheetId="9" state="visible" r:id="rId9"/>
    <sheet xmlns:r="http://schemas.openxmlformats.org/officeDocument/2006/relationships" name="Calabrese_expdata" sheetId="10" state="visible" r:id="rId10"/>
    <sheet xmlns:r="http://schemas.openxmlformats.org/officeDocument/2006/relationships" name="Gaillard_sandbox" sheetId="11" state="visible" r:id="rId11"/>
    <sheet xmlns:r="http://schemas.openxmlformats.org/officeDocument/2006/relationships" name="Aisling sandbox" sheetId="12" state="visible" r:id="rId12"/>
    <sheet xmlns:r="http://schemas.openxmlformats.org/officeDocument/2006/relationships" name="Calabrese_sandbox" sheetId="13" state="visible" r:id="rId13"/>
    <sheet xmlns:r="http://schemas.openxmlformats.org/officeDocument/2006/relationships" name="Plan_Generic" sheetId="14" state="visible" r:id="rId14"/>
    <sheet xmlns:r="http://schemas.openxmlformats.org/officeDocument/2006/relationships" name="Plan_Prestretch" sheetId="15" state="visible" r:id="rId15"/>
    <sheet xmlns:r="http://schemas.openxmlformats.org/officeDocument/2006/relationships" name="Sheet1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Verdana"/>
      <family val="2"/>
      <sz val="10"/>
    </font>
    <font>
      <name val="Arial Unicode MS"/>
      <family val="2"/>
      <color theme="1"/>
      <sz val="10"/>
    </font>
    <font>
      <name val="Aptos Narrow"/>
      <family val="2"/>
      <color theme="3"/>
      <sz val="12"/>
      <scheme val="minor"/>
    </font>
    <font>
      <name val="Aptos Narrow"/>
      <b val="1"/>
      <sz val="12"/>
    </font>
    <font>
      <name val="Aptos Narrow"/>
      <family val="2"/>
      <color rgb="FF000000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1" fontId="0" fillId="0" borderId="0" pivotButton="0" quotePrefix="0" xfId="0"/>
    <xf numFmtId="0" fontId="0" fillId="2" borderId="0" pivotButton="0" quotePrefix="0" xfId="0"/>
    <xf numFmtId="11" fontId="0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1" fontId="0" fillId="0" borderId="0" pivotButton="0" quotePrefix="0" xfId="0"/>
    <xf numFmtId="11" fontId="6" fillId="0" borderId="0" pivotButton="0" quotePrefix="0" xfId="0"/>
    <xf numFmtId="11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019722475132978"/>
          <y val="0.01592892328390114"/>
          <w val="0.7652183158633833"/>
          <h val="0.8042105150696054"/>
        </manualLayout>
      </layout>
      <scatterChart>
        <scatterStyle val="lineMarker"/>
        <varyColors val="0"/>
        <ser>
          <idx val="0"/>
          <order val="0"/>
          <spPr>
            <a:ln xmlns:a="http://schemas.openxmlformats.org/drawingml/2006/main" w="38100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Gaillard_sandbox!$B$16:$B$27</f>
              <numCache>
                <formatCode>General</formatCode>
                <ptCount val="12"/>
                <pt idx="0">
                  <v>245.19879</v>
                </pt>
                <pt idx="1">
                  <v>277.31714</v>
                </pt>
                <pt idx="2">
                  <v>325.0157</v>
                </pt>
                <pt idx="3">
                  <v>442.5608</v>
                </pt>
                <pt idx="4">
                  <v>493.5383</v>
                </pt>
                <pt idx="5">
                  <v>499.98764</v>
                </pt>
                <pt idx="6">
                  <v>606.64636</v>
                </pt>
                <pt idx="7">
                  <v>671.8362</v>
                </pt>
                <pt idx="8">
                  <v>828.2255</v>
                </pt>
                <pt idx="9">
                  <v>863.2735</v>
                </pt>
                <pt idx="10">
                  <v>1097.7465</v>
                </pt>
                <pt idx="11">
                  <v>1210.7236</v>
                </pt>
              </numCache>
            </numRef>
          </xVal>
          <yVal>
            <numRef>
              <f>Gaillard_sandbox!$C$16:$C$27</f>
              <numCache>
                <formatCode>General</formatCode>
                <ptCount val="12"/>
                <pt idx="0">
                  <v>12.131915</v>
                </pt>
                <pt idx="1">
                  <v>15.6637745</v>
                </pt>
                <pt idx="2">
                  <v>18.358616</v>
                </pt>
                <pt idx="3">
                  <v>26.270922</v>
                </pt>
                <pt idx="4">
                  <v>30.813509</v>
                </pt>
                <pt idx="5">
                  <v>38.203377</v>
                </pt>
                <pt idx="6">
                  <v>38.47318</v>
                </pt>
                <pt idx="7">
                  <v>50.91072</v>
                </pt>
                <pt idx="8">
                  <v>60.34089</v>
                </pt>
                <pt idx="9">
                  <v>58.709488</v>
                </pt>
                <pt idx="10">
                  <v>76.63308000000001</v>
                </pt>
                <pt idx="11">
                  <v>88.74279</v>
                </pt>
              </numCache>
            </numRef>
          </yVal>
          <smooth val="0"/>
        </ser>
        <ser>
          <idx val="1"/>
          <order val="1"/>
          <tx>
            <v>\tau_e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square"/>
            <size val="7"/>
            <spPr>
              <a:solidFill xmlns:a="http://schemas.openxmlformats.org/drawingml/2006/main">
                <a:schemeClr val="accent2"/>
              </a:solidFill>
              <a:ln xmlns:a="http://schemas.openxmlformats.org/drawingml/2006/main" w="25400">
                <a:solidFill>
                  <a:schemeClr val="tx1"/>
                </a:solidFill>
                <a:prstDash val="solid"/>
              </a:ln>
            </spPr>
          </marker>
          <xVal>
            <numRef>
              <f>Gaillard_sandbox!$E$16:$E$36</f>
              <numCache>
                <formatCode>General</formatCode>
                <ptCount val="21"/>
                <pt idx="0">
                  <v>257.88022</v>
                </pt>
                <pt idx="1">
                  <v>282.56528</v>
                </pt>
                <pt idx="2">
                  <v>329.47986</v>
                </pt>
                <pt idx="3">
                  <v>431.1312</v>
                </pt>
                <pt idx="4">
                  <v>459.33105</v>
                </pt>
                <pt idx="5">
                  <v>507.54565</v>
                </pt>
                <pt idx="6">
                  <v>590.70447</v>
                </pt>
                <pt idx="7">
                  <v>707.3854</v>
                </pt>
                <pt idx="8">
                  <v>838.92175</v>
                </pt>
                <pt idx="9">
                  <v>850.64764</v>
                </pt>
                <pt idx="10">
                  <v>1142.1499</v>
                </pt>
                <pt idx="11">
                  <v>1360.3489</v>
                </pt>
                <pt idx="12">
                  <v>271.49048</v>
                </pt>
                <pt idx="13">
                  <v>465.45264</v>
                </pt>
                <pt idx="14">
                  <v>649.7061</v>
                </pt>
                <pt idx="15">
                  <v>1052.3977</v>
                </pt>
                <pt idx="16">
                  <v>1367.7031</v>
                </pt>
                <pt idx="17">
                  <v>1620.0197</v>
                </pt>
                <pt idx="18">
                  <v>1920.864</v>
                </pt>
                <pt idx="19">
                  <v>2338.1267</v>
                </pt>
                <pt idx="20">
                  <v>2847.677</v>
                </pt>
              </numCache>
            </numRef>
          </xVal>
          <yVal>
            <numRef>
              <f>Gaillard_sandbox!$F$16:$F$36</f>
              <numCache>
                <formatCode>General</formatCode>
                <ptCount val="21"/>
                <pt idx="0">
                  <v>15.40862</v>
                </pt>
                <pt idx="1">
                  <v>26.118109</v>
                </pt>
                <pt idx="2">
                  <v>17.687658</v>
                </pt>
                <pt idx="3">
                  <v>18.208508</v>
                </pt>
                <pt idx="4">
                  <v>22.74727</v>
                </pt>
                <pt idx="5">
                  <v>26.785614</v>
                </pt>
                <pt idx="6">
                  <v>32.719</v>
                </pt>
                <pt idx="7">
                  <v>32.234818</v>
                </pt>
                <pt idx="8">
                  <v>36.664986</v>
                </pt>
                <pt idx="9">
                  <v>34.651833</v>
                </pt>
                <pt idx="10">
                  <v>40.242374</v>
                </pt>
                <pt idx="11">
                  <v>44.81304</v>
                </pt>
                <pt idx="12">
                  <v>18.882217</v>
                </pt>
                <pt idx="13">
                  <v>30.215885</v>
                </pt>
                <pt idx="14">
                  <v>41.5482</v>
                </pt>
                <pt idx="15">
                  <v>53.329765</v>
                </pt>
                <pt idx="16">
                  <v>65.5179</v>
                </pt>
                <pt idx="17">
                  <v>71.41579400000001</v>
                </pt>
                <pt idx="18">
                  <v>78.15799</v>
                </pt>
                <pt idx="19">
                  <v>89.52283</v>
                </pt>
                <pt idx="20">
                  <v>97.96921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64785055"/>
        <axId val="663874399"/>
      </scatterChart>
      <valAx>
        <axId val="664785055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4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h</a:t>
                </a:r>
                <a:r>
                  <a:rPr lang="en-US" sz="1400" baseline="-25000"/>
                  <a:t>0</a:t>
                </a:r>
                <a:r>
                  <a:rPr lang="en-US" sz="1400" baseline="0"/>
                  <a:t xml:space="preserve"> (𝜇m)</a:t>
                </a:r>
                <a:endParaRPr lang="en-US" sz="1400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in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63874399"/>
        <crosses val="autoZero"/>
        <crossBetween val="midCat"/>
      </valAx>
      <valAx>
        <axId val="663874399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4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𝜏</a:t>
                </a:r>
                <a:r>
                  <a:rPr lang="en-US" sz="1400" baseline="-25000"/>
                  <a:t xml:space="preserve">e </a:t>
                </a:r>
                <a:r>
                  <a:rPr lang="en-US" sz="1400" baseline="0"/>
                  <a:t>(ms)</a:t>
                </a:r>
                <a:endParaRPr lang="en-US" sz="1400" baseline="-25000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64785055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018225537736484"/>
          <y val="0.02352630131456056"/>
          <w val="0.864133261751372"/>
          <h val="0.8944798123638801"/>
        </manualLayout>
      </layout>
      <scatterChart>
        <scatterStyle val="lineMarker"/>
        <varyColors val="0"/>
        <ser>
          <idx val="0"/>
          <order val="0"/>
          <tx>
            <v>Exptl</v>
          </tx>
          <spPr>
            <a:ln xmlns:a="http://schemas.openxmlformats.org/drawingml/2006/main" w="38100" cap="rnd">
              <a:noFill/>
              <a:prstDash val="solid"/>
              <a:round/>
            </a:ln>
          </spPr>
          <marker>
            <symbol val="square"/>
            <size val="8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tx1"/>
                </a:solidFill>
                <a:prstDash val="solid"/>
              </a:ln>
            </spPr>
          </marker>
          <xVal>
            <numRef>
              <f>Gaillard_sandbox!$H$16:$H$36</f>
              <numCache>
                <formatCode>0.00E+00</formatCode>
                <ptCount val="21"/>
                <pt idx="0">
                  <v>98.32414690082143</v>
                </pt>
                <pt idx="1">
                  <v>89.73449474789031</v>
                </pt>
                <pt idx="2">
                  <v>76.95721563708372</v>
                </pt>
                <pt idx="3">
                  <v>58.81238155368053</v>
                </pt>
                <pt idx="4">
                  <v>55.2016952350514</v>
                </pt>
                <pt idx="5">
                  <v>49.95777746119221</v>
                </pt>
                <pt idx="6">
                  <v>42.92476851257982</v>
                </pt>
                <pt idx="7">
                  <v>35.84446701062271</v>
                </pt>
                <pt idx="8">
                  <v>30.22433574298933</v>
                </pt>
                <pt idx="9">
                  <v>29.80770349765051</v>
                </pt>
                <pt idx="10">
                  <v>22.20010931498235</v>
                </pt>
                <pt idx="11">
                  <v>18.63922750560254</v>
                </pt>
                <pt idx="12">
                  <v>93.3949972540332</v>
                </pt>
                <pt idx="13">
                  <v>54.47568765341229</v>
                </pt>
                <pt idx="14">
                  <v>39.02665010240192</v>
                </pt>
                <pt idx="15">
                  <v>24.09341319740261</v>
                </pt>
                <pt idx="16">
                  <v>18.53900355573966</v>
                </pt>
                <pt idx="17">
                  <v>15.65157055441743</v>
                </pt>
                <pt idx="18">
                  <v>13.20023314201118</v>
                </pt>
                <pt idx="19">
                  <v>10.84451609662391</v>
                </pt>
                <pt idx="20">
                  <v>8.904047978087457</v>
                </pt>
              </numCache>
            </numRef>
          </xVal>
          <yVal>
            <numRef>
              <f>Gaillard_sandbox!$I$16:$I$36</f>
              <numCache>
                <formatCode>0.00E+00</formatCode>
                <ptCount val="21"/>
                <pt idx="0">
                  <v>7.19052195130681</v>
                </pt>
                <pt idx="1">
                  <v>4.242114938311389</v>
                </pt>
                <pt idx="2">
                  <v>6.264030000429969</v>
                </pt>
                <pt idx="3">
                  <v>6.084848926081431</v>
                </pt>
                <pt idx="4">
                  <v>4.870739229338076</v>
                </pt>
                <pt idx="5">
                  <v>4.136400246391408</v>
                </pt>
                <pt idx="6">
                  <v>3.386289933963298</v>
                </pt>
                <pt idx="7">
                  <v>3.437153588065711</v>
                </pt>
                <pt idx="8">
                  <v>3.021848156422183</v>
                </pt>
                <pt idx="9">
                  <v>3.197407200633373</v>
                </pt>
                <pt idx="10">
                  <v>2.753217798466491</v>
                </pt>
                <pt idx="11">
                  <v>2.472405807536046</v>
                </pt>
                <pt idx="12">
                  <v>5.867744256373345</v>
                </pt>
                <pt idx="13">
                  <v>3.666813675963657</v>
                </pt>
                <pt idx="14">
                  <v>2.666686411188575</v>
                </pt>
                <pt idx="15">
                  <v>2.077564383592261</v>
                </pt>
                <pt idx="16">
                  <v>1.691080152894784</v>
                </pt>
                <pt idx="17">
                  <v>1.55142180942979</v>
                </pt>
                <pt idx="18">
                  <v>1.417590451716391</v>
                </pt>
                <pt idx="19">
                  <v>1.23762866242438</v>
                </pt>
                <pt idx="20">
                  <v>1.130926955002956</v>
                </pt>
              </numCache>
            </numRef>
          </yVal>
          <smooth val="0"/>
        </ser>
        <ser>
          <idx val="1"/>
          <order val="1"/>
          <tx>
            <v>FENE-P</v>
          </tx>
          <spPr>
            <a:ln xmlns:a="http://schemas.openxmlformats.org/drawingml/2006/main" w="38100" cap="rnd">
              <a:solidFill>
                <a:schemeClr val="tx2">
                  <a:lumMod val="90000"/>
                  <a:lumOff val="1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Gaillard_sandbox!$B$55:$B$95</f>
              <numCache>
                <formatCode>General</formatCode>
                <ptCount val="41"/>
                <pt idx="0">
                  <v>0.01</v>
                </pt>
                <pt idx="1">
                  <v>0.01258925411794167</v>
                </pt>
                <pt idx="2">
                  <v>0.01584893192461113</v>
                </pt>
                <pt idx="3">
                  <v>0.01995262314968879</v>
                </pt>
                <pt idx="4">
                  <v>0.02511886431509579</v>
                </pt>
                <pt idx="5">
                  <v>0.03162277660168379</v>
                </pt>
                <pt idx="6">
                  <v>0.03981071705534971</v>
                </pt>
                <pt idx="7">
                  <v>0.05011872336272723</v>
                </pt>
                <pt idx="8">
                  <v>0.0630957344480193</v>
                </pt>
                <pt idx="9">
                  <v>0.07943282347242814</v>
                </pt>
                <pt idx="10">
                  <v>0.1</v>
                </pt>
                <pt idx="11">
                  <v>0.1258925411794167</v>
                </pt>
                <pt idx="12">
                  <v>0.1584893192461113</v>
                </pt>
                <pt idx="13">
                  <v>0.1995262314968879</v>
                </pt>
                <pt idx="14">
                  <v>0.251188643150958</v>
                </pt>
                <pt idx="15">
                  <v>0.3162277660168379</v>
                </pt>
                <pt idx="16">
                  <v>0.3981071705534972</v>
                </pt>
                <pt idx="17">
                  <v>0.5011872336272722</v>
                </pt>
                <pt idx="18">
                  <v>0.6309573444801932</v>
                </pt>
                <pt idx="19">
                  <v>0.7943282347242815</v>
                </pt>
                <pt idx="20">
                  <v>1</v>
                </pt>
                <pt idx="21">
                  <v>1.258925411794167</v>
                </pt>
                <pt idx="22">
                  <v>1.584893192461114</v>
                </pt>
                <pt idx="23">
                  <v>1.99526231496888</v>
                </pt>
                <pt idx="24">
                  <v>2.51188643150958</v>
                </pt>
                <pt idx="25">
                  <v>3.16227766016838</v>
                </pt>
                <pt idx="26">
                  <v>3.981071705534973</v>
                </pt>
                <pt idx="27">
                  <v>5.011872336272724</v>
                </pt>
                <pt idx="28">
                  <v>6.309573444801933</v>
                </pt>
                <pt idx="29">
                  <v>7.943282347242816</v>
                </pt>
                <pt idx="30">
                  <v>10</v>
                </pt>
                <pt idx="31">
                  <v>12.58925411794167</v>
                </pt>
                <pt idx="32">
                  <v>15.84893192461114</v>
                </pt>
                <pt idx="33">
                  <v>19.9526231496888</v>
                </pt>
                <pt idx="34">
                  <v>25.11886431509581</v>
                </pt>
                <pt idx="35">
                  <v>31.62277660168379</v>
                </pt>
                <pt idx="36">
                  <v>39.81071705534973</v>
                </pt>
                <pt idx="37">
                  <v>50.11872336272725</v>
                </pt>
                <pt idx="38">
                  <v>63.09573444801933</v>
                </pt>
                <pt idx="39">
                  <v>79.43282347242817</v>
                </pt>
                <pt idx="40">
                  <v>100</v>
                </pt>
              </numCache>
            </numRef>
          </xVal>
          <yVal>
            <numRef>
              <f>Gaillard_sandbox!$D$55:$D$95</f>
              <numCache>
                <formatCode>General</formatCode>
                <ptCount val="41"/>
                <pt idx="0">
                  <v>0.8069322491248077</v>
                </pt>
                <pt idx="1">
                  <v>0.8056144349589451</v>
                </pt>
                <pt idx="2">
                  <v>0.8064044698452023</v>
                </pt>
                <pt idx="3">
                  <v>0.8061673509569028</v>
                </pt>
                <pt idx="4">
                  <v>0.805583274767136</v>
                </pt>
                <pt idx="5">
                  <v>0.807053987141184</v>
                </pt>
                <pt idx="6">
                  <v>0.8056578019603713</v>
                </pt>
                <pt idx="7">
                  <v>0.8062376728081037</v>
                </pt>
                <pt idx="8">
                  <v>0.8062617722855687</v>
                </pt>
                <pt idx="9">
                  <v>0.8055533944408851</v>
                </pt>
                <pt idx="10">
                  <v>0.807178656955472</v>
                </pt>
                <pt idx="11">
                  <v>0.8057089858757499</v>
                </pt>
                <pt idx="12">
                  <v>0.806091778545527</v>
                </pt>
                <pt idx="13">
                  <v>0.8063608118780428</v>
                </pt>
                <pt idx="14">
                  <v>0.8055359228081728</v>
                </pt>
                <pt idx="15">
                  <v>0.8073060806875166</v>
                </pt>
                <pt idx="16">
                  <v>0.8057674958673986</v>
                </pt>
                <pt idx="17">
                  <v>0.8059654992338361</v>
                </pt>
                <pt idx="18">
                  <v>0.8064641870153682</v>
                </pt>
                <pt idx="19">
                  <v>0.8055307667828695</v>
                </pt>
                <pt idx="20">
                  <v>0.8073878361023478</v>
                </pt>
                <pt idx="21">
                  <v>0.8059120261030668</v>
                </pt>
                <pt idx="22">
                  <v>0.8073251966675319</v>
                </pt>
                <pt idx="23">
                  <v>0.8082317830109811</v>
                </pt>
                <pt idx="24">
                  <v>0.8128233644012406</v>
                </pt>
                <pt idx="25">
                  <v>0.8214825985930821</v>
                </pt>
                <pt idx="26">
                  <v>0.8341665318106585</v>
                </pt>
                <pt idx="27">
                  <v>0.8551663579887825</v>
                </pt>
                <pt idx="28">
                  <v>0.8817546692691641</v>
                </pt>
                <pt idx="29">
                  <v>0.9228699837937154</v>
                </pt>
                <pt idx="30">
                  <v>0.9743895382783975</v>
                </pt>
                <pt idx="31">
                  <v>1.038722975702735</v>
                </pt>
                <pt idx="32">
                  <v>1.135947139322846</v>
                </pt>
                <pt idx="33">
                  <v>1.261957644703365</v>
                </pt>
                <pt idx="34">
                  <v>1.393287764851131</v>
                </pt>
                <pt idx="35">
                  <v>1.576891237187046</v>
                </pt>
                <pt idx="36">
                  <v>1.818544662266945</v>
                </pt>
                <pt idx="37">
                  <v>2.124697162142582</v>
                </pt>
                <pt idx="38">
                  <v>2.511023978017963</v>
                </pt>
                <pt idx="39">
                  <v>2.998066110292058</v>
                </pt>
                <pt idx="40">
                  <v>3.611790901332949</v>
                </pt>
              </numCache>
            </numRef>
          </yVal>
          <smooth val="0"/>
        </ser>
        <ser>
          <idx val="2"/>
          <order val="2"/>
          <tx>
            <v>C2D2; h* = 0.25</v>
          </tx>
          <spPr>
            <a:ln xmlns:a="http://schemas.openxmlformats.org/drawingml/2006/main">
              <a:solidFill>
                <a:schemeClr val="accent6">
                  <a:lumMod val="75000"/>
                </a:schemeClr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Gaillard_sandbox!$B$55:$B$95</f>
              <numCache>
                <formatCode>General</formatCode>
                <ptCount val="41"/>
                <pt idx="0">
                  <v>0.01</v>
                </pt>
                <pt idx="1">
                  <v>0.01258925411794167</v>
                </pt>
                <pt idx="2">
                  <v>0.01584893192461113</v>
                </pt>
                <pt idx="3">
                  <v>0.01995262314968879</v>
                </pt>
                <pt idx="4">
                  <v>0.02511886431509579</v>
                </pt>
                <pt idx="5">
                  <v>0.03162277660168379</v>
                </pt>
                <pt idx="6">
                  <v>0.03981071705534971</v>
                </pt>
                <pt idx="7">
                  <v>0.05011872336272723</v>
                </pt>
                <pt idx="8">
                  <v>0.0630957344480193</v>
                </pt>
                <pt idx="9">
                  <v>0.07943282347242814</v>
                </pt>
                <pt idx="10">
                  <v>0.1</v>
                </pt>
                <pt idx="11">
                  <v>0.1258925411794167</v>
                </pt>
                <pt idx="12">
                  <v>0.1584893192461113</v>
                </pt>
                <pt idx="13">
                  <v>0.1995262314968879</v>
                </pt>
                <pt idx="14">
                  <v>0.251188643150958</v>
                </pt>
                <pt idx="15">
                  <v>0.3162277660168379</v>
                </pt>
                <pt idx="16">
                  <v>0.3981071705534972</v>
                </pt>
                <pt idx="17">
                  <v>0.5011872336272722</v>
                </pt>
                <pt idx="18">
                  <v>0.6309573444801932</v>
                </pt>
                <pt idx="19">
                  <v>0.7943282347242815</v>
                </pt>
                <pt idx="20">
                  <v>1</v>
                </pt>
                <pt idx="21">
                  <v>1.258925411794167</v>
                </pt>
                <pt idx="22">
                  <v>1.584893192461114</v>
                </pt>
                <pt idx="23">
                  <v>1.99526231496888</v>
                </pt>
                <pt idx="24">
                  <v>2.51188643150958</v>
                </pt>
                <pt idx="25">
                  <v>3.16227766016838</v>
                </pt>
                <pt idx="26">
                  <v>3.981071705534973</v>
                </pt>
                <pt idx="27">
                  <v>5.011872336272724</v>
                </pt>
                <pt idx="28">
                  <v>6.309573444801933</v>
                </pt>
                <pt idx="29">
                  <v>7.943282347242816</v>
                </pt>
                <pt idx="30">
                  <v>10</v>
                </pt>
                <pt idx="31">
                  <v>12.58925411794167</v>
                </pt>
                <pt idx="32">
                  <v>15.84893192461114</v>
                </pt>
                <pt idx="33">
                  <v>19.9526231496888</v>
                </pt>
                <pt idx="34">
                  <v>25.11886431509581</v>
                </pt>
                <pt idx="35">
                  <v>31.62277660168379</v>
                </pt>
                <pt idx="36">
                  <v>39.81071705534973</v>
                </pt>
                <pt idx="37">
                  <v>50.11872336272725</v>
                </pt>
                <pt idx="38">
                  <v>63.09573444801933</v>
                </pt>
                <pt idx="39">
                  <v>79.43282347242817</v>
                </pt>
                <pt idx="40">
                  <v>100</v>
                </pt>
              </numCache>
            </numRef>
          </xVal>
          <yVal>
            <numRef>
              <f>Gaillard_sandbox!$G$55:$G$95</f>
              <numCache>
                <formatCode>General</formatCode>
                <ptCount val="41"/>
                <pt idx="0">
                  <v>0.04653206087660804</v>
                </pt>
                <pt idx="1">
                  <v>0.04653096945939556</v>
                </pt>
                <pt idx="2">
                  <v>0.04653005782408357</v>
                </pt>
                <pt idx="3">
                  <v>0.04653395632319961</v>
                </pt>
                <pt idx="4">
                  <v>0.04652978283915906</v>
                </pt>
                <pt idx="5">
                  <v>0.0465317217810717</v>
                </pt>
                <pt idx="6">
                  <v>0.04653124264706482</v>
                </pt>
                <pt idx="7">
                  <v>0.04652993082534255</v>
                </pt>
                <pt idx="8">
                  <v>0.04653444365594801</v>
                </pt>
                <pt idx="9">
                  <v>0.04652986839452082</v>
                </pt>
                <pt idx="10">
                  <v>0.04653140863641345</v>
                </pt>
                <pt idx="11">
                  <v>0.04653154213346136</v>
                </pt>
                <pt idx="12">
                  <v>0.04652982992966469</v>
                </pt>
                <pt idx="13">
                  <v>0.04653421175558267</v>
                </pt>
                <pt idx="14">
                  <v>0.04652998004854194</v>
                </pt>
                <pt idx="15">
                  <v>0.04653112142948331</v>
                </pt>
                <pt idx="16">
                  <v>0.04653186792904482</v>
                </pt>
                <pt idx="17">
                  <v>0.04652975514792394</v>
                </pt>
                <pt idx="18">
                  <v>0.04653373936167846</v>
                </pt>
                <pt idx="19">
                  <v>0.04653011777082817</v>
                </pt>
                <pt idx="20">
                  <v>0.04653086013778786</v>
                </pt>
                <pt idx="21">
                  <v>0.04653222003977991</v>
                </pt>
                <pt idx="22">
                  <v>0.0465297064727052</v>
                </pt>
                <pt idx="23">
                  <v>0.046533292841815</v>
                </pt>
                <pt idx="24">
                  <v>0.04653028286410395</v>
                </pt>
                <pt idx="25">
                  <v>0.04653062425953509</v>
                </pt>
                <pt idx="26">
                  <v>0.04653259733839001</v>
                </pt>
                <pt idx="27">
                  <v>0.04652968101035757</v>
                </pt>
                <pt idx="28">
                  <v>0.04653286446020822</v>
                </pt>
                <pt idx="29">
                  <v>0.04653045176741413</v>
                </pt>
                <pt idx="30">
                  <v>0.0465303495650098</v>
                </pt>
                <pt idx="31">
                  <v>0.04653279896424421</v>
                </pt>
                <pt idx="32">
                  <v>0.04703928578116007</v>
                </pt>
                <pt idx="33">
                  <v>0.0484758307500399</v>
                </pt>
                <pt idx="34">
                  <v>0.0509688080820646</v>
                </pt>
                <pt idx="35">
                  <v>0.05568018922431928</v>
                </pt>
                <pt idx="36">
                  <v>0.06120652285264248</v>
                </pt>
                <pt idx="37">
                  <v>0.06855819851253207</v>
                </pt>
                <pt idx="38">
                  <v>0.07814042925432083</v>
                </pt>
                <pt idx="39">
                  <v>0.09047303932572791</v>
                </pt>
                <pt idx="40">
                  <v>0.1062193311305127</v>
                </pt>
              </numCache>
            </numRef>
          </yVal>
          <smooth val="0"/>
        </ser>
        <ser>
          <idx val="3"/>
          <order val="3"/>
          <tx>
            <v>C2D2; h* = 0.05</v>
          </tx>
          <spPr>
            <a:ln xmlns:a="http://schemas.openxmlformats.org/drawingml/2006/main">
              <a:solidFill>
                <a:schemeClr val="accent6">
                  <a:lumMod val="60000"/>
                  <a:lumOff val="40000"/>
                </a:schemeClr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Gaillard_sandbox!$B$55:$B$95</f>
              <numCache>
                <formatCode>General</formatCode>
                <ptCount val="41"/>
                <pt idx="0">
                  <v>0.01</v>
                </pt>
                <pt idx="1">
                  <v>0.01258925411794167</v>
                </pt>
                <pt idx="2">
                  <v>0.01584893192461113</v>
                </pt>
                <pt idx="3">
                  <v>0.01995262314968879</v>
                </pt>
                <pt idx="4">
                  <v>0.02511886431509579</v>
                </pt>
                <pt idx="5">
                  <v>0.03162277660168379</v>
                </pt>
                <pt idx="6">
                  <v>0.03981071705534971</v>
                </pt>
                <pt idx="7">
                  <v>0.05011872336272723</v>
                </pt>
                <pt idx="8">
                  <v>0.0630957344480193</v>
                </pt>
                <pt idx="9">
                  <v>0.07943282347242814</v>
                </pt>
                <pt idx="10">
                  <v>0.1</v>
                </pt>
                <pt idx="11">
                  <v>0.1258925411794167</v>
                </pt>
                <pt idx="12">
                  <v>0.1584893192461113</v>
                </pt>
                <pt idx="13">
                  <v>0.1995262314968879</v>
                </pt>
                <pt idx="14">
                  <v>0.251188643150958</v>
                </pt>
                <pt idx="15">
                  <v>0.3162277660168379</v>
                </pt>
                <pt idx="16">
                  <v>0.3981071705534972</v>
                </pt>
                <pt idx="17">
                  <v>0.5011872336272722</v>
                </pt>
                <pt idx="18">
                  <v>0.6309573444801932</v>
                </pt>
                <pt idx="19">
                  <v>0.7943282347242815</v>
                </pt>
                <pt idx="20">
                  <v>1</v>
                </pt>
                <pt idx="21">
                  <v>1.258925411794167</v>
                </pt>
                <pt idx="22">
                  <v>1.584893192461114</v>
                </pt>
                <pt idx="23">
                  <v>1.99526231496888</v>
                </pt>
                <pt idx="24">
                  <v>2.51188643150958</v>
                </pt>
                <pt idx="25">
                  <v>3.16227766016838</v>
                </pt>
                <pt idx="26">
                  <v>3.981071705534973</v>
                </pt>
                <pt idx="27">
                  <v>5.011872336272724</v>
                </pt>
                <pt idx="28">
                  <v>6.309573444801933</v>
                </pt>
                <pt idx="29">
                  <v>7.943282347242816</v>
                </pt>
                <pt idx="30">
                  <v>10</v>
                </pt>
                <pt idx="31">
                  <v>12.58925411794167</v>
                </pt>
                <pt idx="32">
                  <v>15.84893192461114</v>
                </pt>
                <pt idx="33">
                  <v>19.9526231496888</v>
                </pt>
                <pt idx="34">
                  <v>25.11886431509581</v>
                </pt>
                <pt idx="35">
                  <v>31.62277660168379</v>
                </pt>
                <pt idx="36">
                  <v>39.81071705534973</v>
                </pt>
                <pt idx="37">
                  <v>50.11872336272725</v>
                </pt>
                <pt idx="38">
                  <v>63.09573444801933</v>
                </pt>
                <pt idx="39">
                  <v>79.43282347242817</v>
                </pt>
                <pt idx="40">
                  <v>100</v>
                </pt>
              </numCache>
            </numRef>
          </xVal>
          <yVal>
            <numRef>
              <f>Gaillard_sandbox!$H$55:$H$95</f>
              <numCache>
                <formatCode>General</formatCode>
                <ptCount val="41"/>
                <pt idx="0">
                  <v>0.1201245042282156</v>
                </pt>
                <pt idx="1">
                  <v>0.1201249380138567</v>
                </pt>
                <pt idx="2">
                  <v>0.1201219177703115</v>
                </pt>
                <pt idx="3">
                  <v>0.1201291614612979</v>
                </pt>
                <pt idx="4">
                  <v>0.1201222442869622</v>
                </pt>
                <pt idx="5">
                  <v>0.1201240297391348</v>
                </pt>
                <pt idx="6">
                  <v>0.1201254956596851</v>
                </pt>
                <pt idx="7">
                  <v>0.1201218006608102</v>
                </pt>
                <pt idx="8">
                  <v>0.1201283747200926</v>
                </pt>
                <pt idx="9">
                  <v>0.1201224859952246</v>
                </pt>
                <pt idx="10">
                  <v>0.1201235990877443</v>
                </pt>
                <pt idx="11">
                  <v>0.1201260976662175</v>
                </pt>
                <pt idx="12">
                  <v>0.120121727570962</v>
                </pt>
                <pt idx="13">
                  <v>0.1201276316682825</v>
                </pt>
                <pt idx="14">
                  <v>0.1201227719043226</v>
                </pt>
                <pt idx="15">
                  <v>0.120123212294662</v>
                </pt>
                <pt idx="16">
                  <v>0.1201267440557471</v>
                </pt>
                <pt idx="17">
                  <v>0.1201216985228751</v>
                </pt>
                <pt idx="18">
                  <v>0.1201269323273327</v>
                </pt>
                <pt idx="19">
                  <v>0.1201231020636163</v>
                </pt>
                <pt idx="20">
                  <v>0.1201228700183694</v>
                </pt>
                <pt idx="21">
                  <v>0.1201274396407079</v>
                </pt>
                <pt idx="22">
                  <v>0.1201217449448396</v>
                </pt>
                <pt idx="23">
                  <v>0.1201264154903272</v>
                </pt>
                <pt idx="24">
                  <v>0.1201237927541125</v>
                </pt>
                <pt idx="25">
                  <v>0.1201290214390422</v>
                </pt>
                <pt idx="26">
                  <v>0.1203224881601756</v>
                </pt>
                <pt idx="27">
                  <v>0.1209942431422016</v>
                </pt>
                <pt idx="28">
                  <v>0.1227638683123833</v>
                </pt>
                <pt idx="29">
                  <v>0.1256121495434437</v>
                </pt>
                <pt idx="30">
                  <v>0.1310443815554921</v>
                </pt>
                <pt idx="31">
                  <v>0.1388419311605923</v>
                </pt>
                <pt idx="32">
                  <v>0.1485177760701819</v>
                </pt>
                <pt idx="33">
                  <v>0.163622663656801</v>
                </pt>
                <pt idx="34">
                  <v>0.182033913428352</v>
                </pt>
                <pt idx="35">
                  <v>0.2057448075110967</v>
                </pt>
                <pt idx="36">
                  <v>0.2360474706331044</v>
                </pt>
                <pt idx="37">
                  <v>0.274577723012954</v>
                </pt>
                <pt idx="38">
                  <v>0.3234036141998953</v>
                </pt>
                <pt idx="39">
                  <v>0.3851368864383655</v>
                </pt>
                <pt idx="40">
                  <v>0.4630731542703912</v>
                </pt>
              </numCache>
            </numRef>
          </yVal>
          <smooth val="0"/>
        </ser>
        <ser>
          <idx val="4"/>
          <order val="4"/>
          <tx>
            <v>C2D2; h* = 0.005</v>
          </tx>
          <spPr>
            <a:ln xmlns:a="http://schemas.openxmlformats.org/drawingml/2006/main">
              <a:solidFill>
                <a:schemeClr val="accent6">
                  <a:lumMod val="60000"/>
                  <a:lumOff val="40000"/>
                </a:schemeClr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Gaillard_sandbox!$B$55:$B$95</f>
              <numCache>
                <formatCode>General</formatCode>
                <ptCount val="41"/>
                <pt idx="0">
                  <v>0.01</v>
                </pt>
                <pt idx="1">
                  <v>0.01258925411794167</v>
                </pt>
                <pt idx="2">
                  <v>0.01584893192461113</v>
                </pt>
                <pt idx="3">
                  <v>0.01995262314968879</v>
                </pt>
                <pt idx="4">
                  <v>0.02511886431509579</v>
                </pt>
                <pt idx="5">
                  <v>0.03162277660168379</v>
                </pt>
                <pt idx="6">
                  <v>0.03981071705534971</v>
                </pt>
                <pt idx="7">
                  <v>0.05011872336272723</v>
                </pt>
                <pt idx="8">
                  <v>0.0630957344480193</v>
                </pt>
                <pt idx="9">
                  <v>0.07943282347242814</v>
                </pt>
                <pt idx="10">
                  <v>0.1</v>
                </pt>
                <pt idx="11">
                  <v>0.1258925411794167</v>
                </pt>
                <pt idx="12">
                  <v>0.1584893192461113</v>
                </pt>
                <pt idx="13">
                  <v>0.1995262314968879</v>
                </pt>
                <pt idx="14">
                  <v>0.251188643150958</v>
                </pt>
                <pt idx="15">
                  <v>0.3162277660168379</v>
                </pt>
                <pt idx="16">
                  <v>0.3981071705534972</v>
                </pt>
                <pt idx="17">
                  <v>0.5011872336272722</v>
                </pt>
                <pt idx="18">
                  <v>0.6309573444801932</v>
                </pt>
                <pt idx="19">
                  <v>0.7943282347242815</v>
                </pt>
                <pt idx="20">
                  <v>1</v>
                </pt>
                <pt idx="21">
                  <v>1.258925411794167</v>
                </pt>
                <pt idx="22">
                  <v>1.584893192461114</v>
                </pt>
                <pt idx="23">
                  <v>1.99526231496888</v>
                </pt>
                <pt idx="24">
                  <v>2.51188643150958</v>
                </pt>
                <pt idx="25">
                  <v>3.16227766016838</v>
                </pt>
                <pt idx="26">
                  <v>3.981071705534973</v>
                </pt>
                <pt idx="27">
                  <v>5.011872336272724</v>
                </pt>
                <pt idx="28">
                  <v>6.309573444801933</v>
                </pt>
                <pt idx="29">
                  <v>7.943282347242816</v>
                </pt>
                <pt idx="30">
                  <v>10</v>
                </pt>
                <pt idx="31">
                  <v>12.58925411794167</v>
                </pt>
                <pt idx="32">
                  <v>15.84893192461114</v>
                </pt>
                <pt idx="33">
                  <v>19.9526231496888</v>
                </pt>
                <pt idx="34">
                  <v>25.11886431509581</v>
                </pt>
                <pt idx="35">
                  <v>31.62277660168379</v>
                </pt>
                <pt idx="36">
                  <v>39.81071705534973</v>
                </pt>
                <pt idx="37">
                  <v>50.11872336272725</v>
                </pt>
                <pt idx="38">
                  <v>63.09573444801933</v>
                </pt>
                <pt idx="39">
                  <v>79.43282347242817</v>
                </pt>
                <pt idx="40">
                  <v>100</v>
                </pt>
              </numCache>
            </numRef>
          </xVal>
          <yVal>
            <numRef>
              <f>Gaillard_sandbox!$F$55:$F$95</f>
              <numCache>
                <formatCode>General</formatCode>
                <ptCount val="41"/>
                <pt idx="0">
                  <v>0.8157695193252525</v>
                </pt>
                <pt idx="1">
                  <v>0.813131661980778</v>
                </pt>
                <pt idx="2">
                  <v>0.8133323063821196</v>
                </pt>
                <pt idx="3">
                  <v>0.8143619094738163</v>
                </pt>
                <pt idx="4">
                  <v>0.8126432891281163</v>
                </pt>
                <pt idx="5">
                  <v>0.8158903889926945</v>
                </pt>
                <pt idx="6">
                  <v>0.8132522603015055</v>
                </pt>
                <pt idx="7">
                  <v>0.8131458471295987</v>
                </pt>
                <pt idx="8">
                  <v>0.8145448723080069</v>
                </pt>
                <pt idx="9">
                  <v>0.8126643832372373</v>
                </pt>
                <pt idx="10">
                  <v>0.815376869618104</v>
                </pt>
                <pt idx="11">
                  <v>0.813382839548323</v>
                </pt>
                <pt idx="12">
                  <v>0.8129925264561749</v>
                </pt>
                <pt idx="13">
                  <v>0.8147331075109178</v>
                </pt>
                <pt idx="14">
                  <v>0.8127030125875385</v>
                </pt>
                <pt idx="15">
                  <v>0.8149205140489404</v>
                </pt>
                <pt idx="16">
                  <v>0.8135226422942859</v>
                </pt>
                <pt idx="17">
                  <v>0.812869871335042</v>
                </pt>
                <pt idx="18">
                  <v>0.814926225038264</v>
                </pt>
                <pt idx="19">
                  <v>0.8127583690091253</v>
                </pt>
                <pt idx="20">
                  <v>0.8145557027255412</v>
                </pt>
                <pt idx="21">
                  <v>0.8137264995971131</v>
                </pt>
                <pt idx="22">
                  <v>0.8140822738964238</v>
                </pt>
                <pt idx="23">
                  <v>0.8161774482953463</v>
                </pt>
                <pt idx="24">
                  <v>0.821838703712661</v>
                </pt>
                <pt idx="25">
                  <v>0.8335255316129211</v>
                </pt>
                <pt idx="26">
                  <v>0.8516936065306975</v>
                </pt>
                <pt idx="27">
                  <v>0.8758514123718089</v>
                </pt>
                <pt idx="28">
                  <v>0.9123518201906242</v>
                </pt>
                <pt idx="29">
                  <v>0.9682122077757679</v>
                </pt>
                <pt idx="30">
                  <v>1.038151553778867</v>
                </pt>
                <pt idx="31">
                  <v>1.122544079073793</v>
                </pt>
                <pt idx="32">
                  <v>1.243256124696547</v>
                </pt>
                <pt idx="33">
                  <v>1.383402029422511</v>
                </pt>
                <pt idx="34">
                  <v>1.584753268827168</v>
                </pt>
                <pt idx="35">
                  <v>1.838824203102656</v>
                </pt>
                <pt idx="36">
                  <v>2.15911199245832</v>
                </pt>
                <pt idx="37">
                  <v>2.562714098337363</v>
                </pt>
                <pt idx="38">
                  <v>3.071155983866158</v>
                </pt>
                <pt idx="39">
                  <v>3.71153823692934</v>
                </pt>
                <pt idx="40">
                  <v>4.517981185123688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96153824"/>
        <axId val="696155536"/>
      </scatterChart>
      <valAx>
        <axId val="696153824"/>
        <scaling>
          <logBase val="10"/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De</a:t>
                </a:r>
                <a:r>
                  <a:rPr lang="en-US" sz="1400" baseline="-25000"/>
                  <a:t>v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E+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96155536"/>
        <crossesAt val="0.01"/>
        <crossBetween val="midCat"/>
      </valAx>
      <valAx>
        <axId val="696155536"/>
        <scaling>
          <logBase val="10"/>
          <orientation val="minMax"/>
          <min val="0.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4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Wi</a:t>
                </a:r>
                <a:r>
                  <a:rPr lang="en-US" sz="1400" baseline="-25000"/>
                  <a:t>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E+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96153824"/>
        <crosses val="autoZero"/>
        <crossBetween val="midCat"/>
      </valAx>
    </plotArea>
    <legend>
      <legendPos val="l"/>
      <layout>
        <manualLayout>
          <xMode val="edge"/>
          <yMode val="edge"/>
          <wMode val="factor"/>
          <hMode val="factor"/>
          <x val="0.07087132389986901"/>
          <y val="0.03813791368184238"/>
          <w val="0.2951972121003353"/>
          <h val="0.2795006721720761"/>
        </manualLayout>
      </layout>
      <overlay val="0"/>
      <spPr>
        <a:solidFill xmlns:a="http://schemas.openxmlformats.org/drawingml/2006/main">
          <a:schemeClr val="bg1"/>
        </a:solidFill>
        <a:ln xmlns:a="http://schemas.openxmlformats.org/drawingml/2006/main"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400" baseline="0"/>
          </a:pPr>
          <a:r>
            <a:t>None</a:t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10</col>
      <colOff>243416</colOff>
      <row>50</row>
      <rowOff>118232</rowOff>
    </from>
    <to>
      <col>20</col>
      <colOff>198967</colOff>
      <row>84</row>
      <rowOff>124581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13</col>
      <colOff>85791</colOff>
      <row>24</row>
      <rowOff>47048</rowOff>
    </from>
    <to>
      <col>21</col>
      <colOff>696809</colOff>
      <row>58</row>
      <rowOff>204287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3"/>
  <sheetViews>
    <sheetView workbookViewId="0">
      <selection activeCell="D60" sqref="D60"/>
    </sheetView>
  </sheetViews>
  <sheetFormatPr baseColWidth="10" defaultRowHeight="16"/>
  <cols>
    <col width="20" customWidth="1" style="13" min="11" max="11"/>
    <col width="83" customWidth="1" style="13" min="12" max="12"/>
  </cols>
  <sheetData>
    <row r="1" ht="17" customHeight="1" s="13">
      <c r="A1" s="7" t="inlineStr">
        <is>
          <t>enabled</t>
        </is>
      </c>
      <c r="B1" s="7" t="inlineStr">
        <is>
          <t>sweep_id</t>
        </is>
      </c>
      <c r="C1" s="7" t="inlineStr">
        <is>
          <t>sample_id</t>
        </is>
      </c>
      <c r="D1" s="7" t="inlineStr">
        <is>
          <t>flow_type</t>
        </is>
      </c>
      <c r="E1" s="7" t="inlineStr">
        <is>
          <t>NK</t>
        </is>
      </c>
      <c r="F1" s="7" t="inlineStr">
        <is>
          <t>hK_star</t>
        </is>
      </c>
      <c r="G1" s="7" t="inlineStr">
        <is>
          <t>fe_model</t>
        </is>
      </c>
      <c r="H1" s="7" t="inlineStr">
        <is>
          <t>drag_model</t>
        </is>
      </c>
      <c r="I1" s="7" t="inlineStr">
        <is>
          <t>phi</t>
        </is>
      </c>
      <c r="J1" s="7" t="inlineStr">
        <is>
          <t>De</t>
        </is>
      </c>
      <c r="K1" s="7" t="inlineStr">
        <is>
          <t>folder</t>
        </is>
      </c>
      <c r="L1" s="7" t="inlineStr">
        <is>
          <t xml:space="preserve">out_root </t>
        </is>
      </c>
      <c r="M1" s="7" t="inlineStr">
        <is>
          <t>notes</t>
        </is>
      </c>
    </row>
    <row r="2" customFormat="1" s="8">
      <c r="A2" s="8" t="b">
        <v>1</v>
      </c>
      <c r="B2" s="8" t="n">
        <v>1</v>
      </c>
      <c r="C2" s="8" t="inlineStr">
        <is>
          <t>G1</t>
        </is>
      </c>
      <c r="D2" s="8" t="inlineStr">
        <is>
          <t>styext</t>
        </is>
      </c>
      <c r="E2" s="8" t="n">
        <v>30000</v>
      </c>
      <c r="F2" s="8" t="n">
        <v>0.005</v>
      </c>
      <c r="G2" s="8" t="inlineStr">
        <is>
          <t>fenepm</t>
        </is>
      </c>
      <c r="H2" s="8" t="inlineStr">
        <is>
          <t>constant</t>
        </is>
      </c>
      <c r="I2" s="8" t="n">
        <v>0.02</v>
      </c>
      <c r="J2" s="8" t="n">
        <v>1</v>
      </c>
      <c r="K2" s="8" t="inlineStr">
        <is>
          <t>gaillard</t>
        </is>
      </c>
      <c r="L2" s="8" t="inlineStr">
        <is>
          <t>julia/experiments/tnwpaper/outputs/exptl_comparison</t>
        </is>
      </c>
      <c r="M2" t="inlineStr">
        <is>
          <t>CANONICAL: Gaillard G1 (PEO-visc), c/c* Graessley, h*K=0.005</t>
        </is>
      </c>
    </row>
    <row r="3" customFormat="1" s="8">
      <c r="A3" s="8" t="b">
        <v>1</v>
      </c>
      <c r="B3" s="8" t="n">
        <v>2</v>
      </c>
      <c r="C3" s="8" t="inlineStr">
        <is>
          <t>G1</t>
        </is>
      </c>
      <c r="D3" s="8" t="inlineStr">
        <is>
          <t>styext</t>
        </is>
      </c>
      <c r="E3" s="8" t="n">
        <v>30000</v>
      </c>
      <c r="F3" s="8" t="n">
        <v>0.005</v>
      </c>
      <c r="G3" s="8" t="inlineStr">
        <is>
          <t>fenepm</t>
        </is>
      </c>
      <c r="H3" s="8" t="inlineStr">
        <is>
          <t>c2d2</t>
        </is>
      </c>
      <c r="I3" s="8" t="n">
        <v>0.02</v>
      </c>
      <c r="J3" s="8" t="n">
        <v>1</v>
      </c>
      <c r="K3" s="8" t="inlineStr">
        <is>
          <t>gaillard</t>
        </is>
      </c>
      <c r="L3" s="8" t="inlineStr">
        <is>
          <t>julia/experiments/tnwpaper/outputs/exptl_comparison</t>
        </is>
      </c>
      <c r="M3" t="inlineStr">
        <is>
          <t>CANONICAL: Gaillard G1 (PEO-visc), c/c* Graessley, h*K=0.005</t>
        </is>
      </c>
    </row>
    <row r="4" customFormat="1" s="8">
      <c r="A4" s="8" t="b">
        <v>1</v>
      </c>
      <c r="B4" s="8" t="n">
        <v>3</v>
      </c>
      <c r="C4" s="8" t="inlineStr">
        <is>
          <t>G1</t>
        </is>
      </c>
      <c r="D4" s="8" t="inlineStr">
        <is>
          <t>caber</t>
        </is>
      </c>
      <c r="E4" s="8" t="n">
        <v>30000</v>
      </c>
      <c r="F4" s="8" t="n">
        <v>0.005</v>
      </c>
      <c r="G4" s="8" t="inlineStr">
        <is>
          <t>fenepm</t>
        </is>
      </c>
      <c r="H4" s="8" t="inlineStr">
        <is>
          <t>constant</t>
        </is>
      </c>
      <c r="I4" s="8" t="n">
        <v>0.02</v>
      </c>
      <c r="J4" s="8" t="inlineStr">
        <is>
          <t>[0.01, 0.03, 0.1, 0.3, 1, 3, 10, 30, 100]</t>
        </is>
      </c>
      <c r="K4" s="8" t="inlineStr">
        <is>
          <t>gaillard</t>
        </is>
      </c>
      <c r="L4" s="8" t="inlineStr">
        <is>
          <t>julia/experiments/tnwpaper/outputs/exptl_comparison</t>
        </is>
      </c>
      <c r="M4" t="inlineStr">
        <is>
          <t>CANONICAL: Gaillard G1 (PEO-visc), c/c* Graessley, h*K=0.005</t>
        </is>
      </c>
    </row>
    <row r="5" customFormat="1" s="8">
      <c r="A5" s="8" t="b">
        <v>1</v>
      </c>
      <c r="B5" s="8" t="n">
        <v>4</v>
      </c>
      <c r="C5" s="8" t="inlineStr">
        <is>
          <t>G1</t>
        </is>
      </c>
      <c r="D5" s="8" t="inlineStr">
        <is>
          <t>caber</t>
        </is>
      </c>
      <c r="E5" s="8" t="n">
        <v>30000</v>
      </c>
      <c r="F5" s="8" t="n">
        <v>0.005</v>
      </c>
      <c r="G5" s="8" t="inlineStr">
        <is>
          <t>fenepm</t>
        </is>
      </c>
      <c r="H5" s="8" t="inlineStr">
        <is>
          <t>c2d2</t>
        </is>
      </c>
      <c r="I5" s="8" t="n">
        <v>0.02</v>
      </c>
      <c r="J5" s="8" t="inlineStr">
        <is>
          <t>[0.01, 0.03, 0.1, 0.3, 1, 3, 10, 30, 100]</t>
        </is>
      </c>
      <c r="K5" s="8" t="inlineStr">
        <is>
          <t>gaillard</t>
        </is>
      </c>
      <c r="L5" s="8" t="inlineStr">
        <is>
          <t>julia/experiments/tnwpaper/outputs/exptl_comparison</t>
        </is>
      </c>
      <c r="M5" t="inlineStr">
        <is>
          <t>CANONICAL: Gaillard G1 (PEO-visc), c/c* Graessley, h*K=0.005</t>
        </is>
      </c>
    </row>
    <row r="6" customFormat="1" s="4">
      <c r="A6" s="4" t="b">
        <v>1</v>
      </c>
      <c r="B6" s="4" t="n">
        <v>5</v>
      </c>
      <c r="C6" s="4" t="inlineStr">
        <is>
          <t>A1</t>
        </is>
      </c>
      <c r="D6" s="4" t="inlineStr">
        <is>
          <t>styext</t>
        </is>
      </c>
      <c r="E6" s="4" t="n">
        <v>2700</v>
      </c>
      <c r="F6" s="4" t="n">
        <v>0.01</v>
      </c>
      <c r="G6" s="4" t="inlineStr">
        <is>
          <t>fenepm</t>
        </is>
      </c>
      <c r="H6" s="4" t="inlineStr">
        <is>
          <t>constant</t>
        </is>
      </c>
      <c r="I6" s="4" t="n">
        <v>0.13</v>
      </c>
      <c r="J6" s="4" t="n">
        <v>1</v>
      </c>
      <c r="K6" s="4" t="inlineStr">
        <is>
          <t>anna</t>
        </is>
      </c>
      <c r="L6" s="4" t="inlineStr">
        <is>
          <t>julia/experiments/tnwpaper/outputs/exptl_comparison</t>
        </is>
      </c>
      <c r="M6" t="inlineStr">
        <is>
          <t>CANONICAL: Anna A1-A3, c/c* number-density, h*K=0.01</t>
        </is>
      </c>
    </row>
    <row r="7" customFormat="1" s="4">
      <c r="A7" s="4" t="b">
        <v>1</v>
      </c>
      <c r="B7" s="4" t="n">
        <v>6</v>
      </c>
      <c r="C7" s="4" t="inlineStr">
        <is>
          <t>A1</t>
        </is>
      </c>
      <c r="D7" s="4" t="inlineStr">
        <is>
          <t>styext</t>
        </is>
      </c>
      <c r="E7" s="4" t="n">
        <v>2700</v>
      </c>
      <c r="F7" s="4" t="n">
        <v>0.01</v>
      </c>
      <c r="G7" s="4" t="inlineStr">
        <is>
          <t>fenepm</t>
        </is>
      </c>
      <c r="H7" s="4" t="inlineStr">
        <is>
          <t>c2d2</t>
        </is>
      </c>
      <c r="I7" s="4" t="n">
        <v>0.13</v>
      </c>
      <c r="J7" s="4" t="n">
        <v>1</v>
      </c>
      <c r="K7" s="4" t="inlineStr">
        <is>
          <t>anna</t>
        </is>
      </c>
      <c r="L7" s="4" t="inlineStr">
        <is>
          <t>julia/experiments/tnwpaper/outputs/exptl_comparison</t>
        </is>
      </c>
      <c r="M7" t="inlineStr">
        <is>
          <t>CANONICAL: Anna A1-A3, c/c* number-density, h*K=0.01</t>
        </is>
      </c>
    </row>
    <row r="8" customFormat="1" s="4">
      <c r="A8" s="4" t="b">
        <v>1</v>
      </c>
      <c r="B8" s="4" t="n">
        <v>7</v>
      </c>
      <c r="C8" s="4" t="inlineStr">
        <is>
          <t>A1</t>
        </is>
      </c>
      <c r="D8" s="4" t="inlineStr">
        <is>
          <t>caber</t>
        </is>
      </c>
      <c r="E8" s="4" t="n">
        <v>2700</v>
      </c>
      <c r="F8" s="4" t="n">
        <v>0.01</v>
      </c>
      <c r="G8" s="4" t="inlineStr">
        <is>
          <t>fenepm</t>
        </is>
      </c>
      <c r="H8" s="4" t="inlineStr">
        <is>
          <t>constant</t>
        </is>
      </c>
      <c r="I8" s="4" t="n">
        <v>0.13</v>
      </c>
      <c r="J8" s="4" t="inlineStr">
        <is>
          <t>[0.01, 0.03, 0.1, 0.3, 1, 3, 10, 30, 100, 300]</t>
        </is>
      </c>
      <c r="K8" s="4" t="inlineStr">
        <is>
          <t>anna</t>
        </is>
      </c>
      <c r="L8" s="4" t="inlineStr">
        <is>
          <t>julia/experiments/tnwpaper/outputs/exptl_comparison</t>
        </is>
      </c>
      <c r="M8" t="inlineStr">
        <is>
          <t>CANONICAL: Anna A1-A3, c/c* number-density, h*K=0.01</t>
        </is>
      </c>
    </row>
    <row r="9" customFormat="1" s="4">
      <c r="A9" s="4" t="b">
        <v>1</v>
      </c>
      <c r="B9" s="4" t="n">
        <v>8</v>
      </c>
      <c r="C9" s="4" t="inlineStr">
        <is>
          <t>A1</t>
        </is>
      </c>
      <c r="D9" s="4" t="inlineStr">
        <is>
          <t>caber</t>
        </is>
      </c>
      <c r="E9" s="4" t="n">
        <v>2700</v>
      </c>
      <c r="F9" s="4" t="n">
        <v>0.01</v>
      </c>
      <c r="G9" s="4" t="inlineStr">
        <is>
          <t>fenepm</t>
        </is>
      </c>
      <c r="H9" s="4" t="inlineStr">
        <is>
          <t>c2d2</t>
        </is>
      </c>
      <c r="I9" s="4" t="n">
        <v>0.13</v>
      </c>
      <c r="J9" s="4" t="inlineStr">
        <is>
          <t>[0.01, 0.03, 0.1, 0.3, 1, 3, 10, 30, 100, 300]</t>
        </is>
      </c>
      <c r="K9" s="4" t="inlineStr">
        <is>
          <t>anna</t>
        </is>
      </c>
      <c r="L9" s="4" t="inlineStr">
        <is>
          <t>julia/experiments/tnwpaper/outputs/exptl_comparison</t>
        </is>
      </c>
      <c r="M9" t="inlineStr">
        <is>
          <t>CANONICAL: Anna A1-A3, c/c* number-density, h*K=0.01</t>
        </is>
      </c>
    </row>
    <row r="10" customFormat="1" s="4">
      <c r="A10" s="4" t="b">
        <v>1</v>
      </c>
      <c r="B10" s="4" t="n">
        <v>9</v>
      </c>
      <c r="C10" s="4" t="inlineStr">
        <is>
          <t>A2</t>
        </is>
      </c>
      <c r="D10" s="4" t="inlineStr">
        <is>
          <t>styext</t>
        </is>
      </c>
      <c r="E10" s="4" t="n">
        <v>8760</v>
      </c>
      <c r="F10" s="4" t="n">
        <v>0.01</v>
      </c>
      <c r="G10" s="4" t="inlineStr">
        <is>
          <t>fenepm</t>
        </is>
      </c>
      <c r="H10" s="4" t="inlineStr">
        <is>
          <t>constant</t>
        </is>
      </c>
      <c r="I10" s="4" t="n">
        <v>0.23</v>
      </c>
      <c r="J10" s="4" t="n">
        <v>1</v>
      </c>
      <c r="K10" s="4" t="inlineStr">
        <is>
          <t>anna</t>
        </is>
      </c>
      <c r="L10" s="4" t="inlineStr">
        <is>
          <t>julia/experiments/tnwpaper/outputs/exptl_comparison</t>
        </is>
      </c>
      <c r="M10" t="inlineStr">
        <is>
          <t>CANONICAL: Anna A1-A3, c/c* number-density, h*K=0.01</t>
        </is>
      </c>
    </row>
    <row r="11" customFormat="1" s="4">
      <c r="A11" s="4" t="b">
        <v>1</v>
      </c>
      <c r="B11" s="4" t="n">
        <v>10</v>
      </c>
      <c r="C11" s="4" t="inlineStr">
        <is>
          <t>A2</t>
        </is>
      </c>
      <c r="D11" s="4" t="inlineStr">
        <is>
          <t>styext</t>
        </is>
      </c>
      <c r="E11" s="4" t="n">
        <v>8760</v>
      </c>
      <c r="F11" s="4" t="n">
        <v>0.01</v>
      </c>
      <c r="G11" s="4" t="inlineStr">
        <is>
          <t>fenepm</t>
        </is>
      </c>
      <c r="H11" s="4" t="inlineStr">
        <is>
          <t>c2d2</t>
        </is>
      </c>
      <c r="I11" s="4" t="n">
        <v>0.23</v>
      </c>
      <c r="J11" s="4" t="n">
        <v>1</v>
      </c>
      <c r="K11" s="4" t="inlineStr">
        <is>
          <t>anna</t>
        </is>
      </c>
      <c r="L11" s="4" t="inlineStr">
        <is>
          <t>julia/experiments/tnwpaper/outputs/exptl_comparison</t>
        </is>
      </c>
      <c r="M11" t="inlineStr">
        <is>
          <t>CANONICAL: Anna A1-A3, c/c* number-density, h*K=0.01</t>
        </is>
      </c>
    </row>
    <row r="12" customFormat="1" s="4">
      <c r="A12" s="4" t="b">
        <v>1</v>
      </c>
      <c r="B12" s="4" t="n">
        <v>11</v>
      </c>
      <c r="C12" s="4" t="inlineStr">
        <is>
          <t>A2</t>
        </is>
      </c>
      <c r="D12" s="4" t="inlineStr">
        <is>
          <t>caber</t>
        </is>
      </c>
      <c r="E12" s="4" t="n">
        <v>8760</v>
      </c>
      <c r="F12" s="4" t="n">
        <v>0.01</v>
      </c>
      <c r="G12" s="4" t="inlineStr">
        <is>
          <t>fenepm</t>
        </is>
      </c>
      <c r="H12" s="4" t="inlineStr">
        <is>
          <t>constant</t>
        </is>
      </c>
      <c r="I12" s="4" t="n">
        <v>0.23</v>
      </c>
      <c r="J12" s="4" t="inlineStr">
        <is>
          <t>[0.01, 0.03, 0.1, 0.3, 1, 3, 10, 30, 100, 300]</t>
        </is>
      </c>
      <c r="K12" s="4" t="inlineStr">
        <is>
          <t>anna</t>
        </is>
      </c>
      <c r="L12" s="4" t="inlineStr">
        <is>
          <t>julia/experiments/tnwpaper/outputs/exptl_comparison</t>
        </is>
      </c>
      <c r="M12" t="inlineStr">
        <is>
          <t>CANONICAL: Anna A1-A3, c/c* number-density, h*K=0.01</t>
        </is>
      </c>
    </row>
    <row r="13" customFormat="1" s="4">
      <c r="A13" s="4" t="b">
        <v>1</v>
      </c>
      <c r="B13" s="4" t="n">
        <v>12</v>
      </c>
      <c r="C13" s="4" t="inlineStr">
        <is>
          <t>A2</t>
        </is>
      </c>
      <c r="D13" s="4" t="inlineStr">
        <is>
          <t>caber</t>
        </is>
      </c>
      <c r="E13" s="4" t="n">
        <v>8760</v>
      </c>
      <c r="F13" s="4" t="n">
        <v>0.01</v>
      </c>
      <c r="G13" s="4" t="inlineStr">
        <is>
          <t>fenepm</t>
        </is>
      </c>
      <c r="H13" s="4" t="inlineStr">
        <is>
          <t>c2d2</t>
        </is>
      </c>
      <c r="I13" s="4" t="n">
        <v>0.23</v>
      </c>
      <c r="J13" s="4" t="inlineStr">
        <is>
          <t>[0.01, 0.03, 0.1, 0.3, 1, 3, 10, 30, 100, 300]</t>
        </is>
      </c>
      <c r="K13" s="4" t="inlineStr">
        <is>
          <t>anna</t>
        </is>
      </c>
      <c r="L13" s="4" t="inlineStr">
        <is>
          <t>julia/experiments/tnwpaper/outputs/exptl_comparison</t>
        </is>
      </c>
      <c r="M13" t="inlineStr">
        <is>
          <t>CANONICAL: Anna A1-A3, c/c* number-density, h*K=0.01</t>
        </is>
      </c>
    </row>
    <row r="14" customFormat="1" s="4">
      <c r="A14" s="4" t="b">
        <v>1</v>
      </c>
      <c r="B14" s="4" t="n">
        <v>13</v>
      </c>
      <c r="C14" s="4" t="inlineStr">
        <is>
          <t>A3</t>
        </is>
      </c>
      <c r="D14" s="4" t="inlineStr">
        <is>
          <t>styext</t>
        </is>
      </c>
      <c r="E14" s="4" t="n">
        <v>27000</v>
      </c>
      <c r="F14" s="4" t="n">
        <v>0.01</v>
      </c>
      <c r="G14" s="4" t="inlineStr">
        <is>
          <t>fenepm</t>
        </is>
      </c>
      <c r="H14" s="4" t="inlineStr">
        <is>
          <t>constant</t>
        </is>
      </c>
      <c r="I14" s="4" t="n">
        <v>0.4</v>
      </c>
      <c r="J14" s="4" t="n">
        <v>1</v>
      </c>
      <c r="K14" s="4" t="inlineStr">
        <is>
          <t>anna</t>
        </is>
      </c>
      <c r="L14" s="4" t="inlineStr">
        <is>
          <t>julia/experiments/tnwpaper/outputs/exptl_comparison</t>
        </is>
      </c>
      <c r="M14" t="inlineStr">
        <is>
          <t>CANONICAL: Anna A1-A3, c/c* number-density, h*K=0.01</t>
        </is>
      </c>
    </row>
    <row r="15" customFormat="1" s="4">
      <c r="A15" s="4" t="b">
        <v>1</v>
      </c>
      <c r="B15" s="4" t="n">
        <v>14</v>
      </c>
      <c r="C15" s="4" t="inlineStr">
        <is>
          <t>A3</t>
        </is>
      </c>
      <c r="D15" s="4" t="inlineStr">
        <is>
          <t>styext</t>
        </is>
      </c>
      <c r="E15" s="4" t="n">
        <v>27000</v>
      </c>
      <c r="F15" s="4" t="n">
        <v>0.01</v>
      </c>
      <c r="G15" s="4" t="inlineStr">
        <is>
          <t>fenepm</t>
        </is>
      </c>
      <c r="H15" s="4" t="inlineStr">
        <is>
          <t>c2d2</t>
        </is>
      </c>
      <c r="I15" s="4" t="n">
        <v>0.4</v>
      </c>
      <c r="J15" s="4" t="n">
        <v>1</v>
      </c>
      <c r="K15" s="4" t="inlineStr">
        <is>
          <t>anna</t>
        </is>
      </c>
      <c r="L15" s="4" t="inlineStr">
        <is>
          <t>julia/experiments/tnwpaper/outputs/exptl_comparison</t>
        </is>
      </c>
      <c r="M15" t="inlineStr">
        <is>
          <t>CANONICAL: Anna A1-A3, c/c* number-density, h*K=0.01</t>
        </is>
      </c>
    </row>
    <row r="16" customFormat="1" s="4">
      <c r="A16" s="4" t="b">
        <v>1</v>
      </c>
      <c r="B16" s="4" t="n">
        <v>15</v>
      </c>
      <c r="C16" s="4" t="inlineStr">
        <is>
          <t>A3</t>
        </is>
      </c>
      <c r="D16" s="4" t="inlineStr">
        <is>
          <t>caber</t>
        </is>
      </c>
      <c r="E16" s="4" t="n">
        <v>27000</v>
      </c>
      <c r="F16" s="4" t="n">
        <v>0.01</v>
      </c>
      <c r="G16" s="4" t="inlineStr">
        <is>
          <t>fenepm</t>
        </is>
      </c>
      <c r="H16" s="4" t="inlineStr">
        <is>
          <t>constant</t>
        </is>
      </c>
      <c r="I16" s="4" t="n">
        <v>0.4</v>
      </c>
      <c r="J16" s="4" t="inlineStr">
        <is>
          <t>[0.01, 0.03, 0.1, 0.3, 1, 3, 10, 30, 100, 300]</t>
        </is>
      </c>
      <c r="K16" s="4" t="inlineStr">
        <is>
          <t>anna</t>
        </is>
      </c>
      <c r="L16" s="4" t="inlineStr">
        <is>
          <t>julia/experiments/tnwpaper/outputs/exptl_comparison</t>
        </is>
      </c>
      <c r="M16" t="inlineStr">
        <is>
          <t>CANONICAL: Anna A1-A3, c/c* number-density, h*K=0.01</t>
        </is>
      </c>
    </row>
    <row r="17" customFormat="1" s="4">
      <c r="A17" s="4" t="b">
        <v>1</v>
      </c>
      <c r="B17" s="4" t="n">
        <v>16</v>
      </c>
      <c r="C17" s="4" t="inlineStr">
        <is>
          <t>A3</t>
        </is>
      </c>
      <c r="D17" s="4" t="inlineStr">
        <is>
          <t>caber</t>
        </is>
      </c>
      <c r="E17" s="4" t="n">
        <v>27000</v>
      </c>
      <c r="F17" s="4" t="n">
        <v>0.01</v>
      </c>
      <c r="G17" s="4" t="inlineStr">
        <is>
          <t>fenepm</t>
        </is>
      </c>
      <c r="H17" s="4" t="inlineStr">
        <is>
          <t>c2d2</t>
        </is>
      </c>
      <c r="I17" s="4" t="n">
        <v>0.4</v>
      </c>
      <c r="J17" s="4" t="inlineStr">
        <is>
          <t>[0.01, 0.03, 0.1, 0.3, 1, 3, 10, 30, 100, 300]</t>
        </is>
      </c>
      <c r="K17" s="4" t="inlineStr">
        <is>
          <t>anna</t>
        </is>
      </c>
      <c r="L17" s="4" t="inlineStr">
        <is>
          <t>julia/experiments/tnwpaper/outputs/exptl_comparison</t>
        </is>
      </c>
      <c r="M17" t="inlineStr">
        <is>
          <t>CANONICAL: Anna A1-A3, c/c* number-density, h*K=0.01</t>
        </is>
      </c>
    </row>
    <row r="18" customFormat="1" s="9">
      <c r="A18" s="9" t="b">
        <v>0</v>
      </c>
      <c r="B18" s="9" t="n">
        <v>17</v>
      </c>
      <c r="C18" s="9" t="inlineStr">
        <is>
          <t>C1</t>
        </is>
      </c>
      <c r="D18" s="9" t="inlineStr">
        <is>
          <t>styext</t>
        </is>
      </c>
      <c r="E18" s="9" t="n">
        <v>11200</v>
      </c>
      <c r="F18" s="9" t="n">
        <v>0.04</v>
      </c>
      <c r="G18" s="9" t="inlineStr">
        <is>
          <t>fenepm</t>
        </is>
      </c>
      <c r="H18" s="9" t="inlineStr">
        <is>
          <t>constant</t>
        </is>
      </c>
      <c r="I18" s="9" t="n">
        <v>0.004</v>
      </c>
      <c r="J18" s="9" t="n">
        <v>1</v>
      </c>
      <c r="K18" s="9" t="inlineStr">
        <is>
          <t>clasen</t>
        </is>
      </c>
      <c r="L18" s="9" t="inlineStr">
        <is>
          <t>julia/experiments/tnwpaper/outputs/exptl_comparison</t>
        </is>
      </c>
      <c r="M18" t="inlineStr">
        <is>
          <t>SUPERSEDED: old Sample-E h*K=0.04 (use clasen_e_km@0.03)</t>
        </is>
      </c>
    </row>
    <row r="19" customFormat="1" s="9">
      <c r="A19" s="9" t="b">
        <v>0</v>
      </c>
      <c r="B19" s="9" t="n">
        <v>18</v>
      </c>
      <c r="C19" s="9" t="inlineStr">
        <is>
          <t>C1</t>
        </is>
      </c>
      <c r="D19" s="9" t="inlineStr">
        <is>
          <t>styext</t>
        </is>
      </c>
      <c r="E19" s="9" t="n">
        <v>11200</v>
      </c>
      <c r="F19" s="9" t="n">
        <v>0.04</v>
      </c>
      <c r="G19" s="9" t="inlineStr">
        <is>
          <t>fenepm</t>
        </is>
      </c>
      <c r="H19" s="9" t="inlineStr">
        <is>
          <t>c2d2</t>
        </is>
      </c>
      <c r="I19" s="9" t="n">
        <v>0.004</v>
      </c>
      <c r="J19" s="9" t="n">
        <v>1</v>
      </c>
      <c r="K19" s="9" t="inlineStr">
        <is>
          <t>clasen</t>
        </is>
      </c>
      <c r="L19" s="9" t="inlineStr">
        <is>
          <t>julia/experiments/tnwpaper/outputs/exptl_comparison</t>
        </is>
      </c>
      <c r="M19" t="inlineStr">
        <is>
          <t>SUPERSEDED: old Sample-E h*K=0.04 (use clasen_e_km@0.03)</t>
        </is>
      </c>
    </row>
    <row r="20" customFormat="1" s="9">
      <c r="A20" s="9" t="b">
        <v>0</v>
      </c>
      <c r="B20" s="9" t="n">
        <v>19</v>
      </c>
      <c r="C20" s="9" t="inlineStr">
        <is>
          <t>C1</t>
        </is>
      </c>
      <c r="D20" s="9" t="inlineStr">
        <is>
          <t>caber</t>
        </is>
      </c>
      <c r="E20" s="9" t="n">
        <v>11200</v>
      </c>
      <c r="F20" s="9" t="n">
        <v>0.04</v>
      </c>
      <c r="G20" s="9" t="inlineStr">
        <is>
          <t>fenepm</t>
        </is>
      </c>
      <c r="H20" s="9" t="inlineStr">
        <is>
          <t>constant</t>
        </is>
      </c>
      <c r="I20" s="9" t="n">
        <v>0.004</v>
      </c>
      <c r="J20" s="9" t="inlineStr">
        <is>
          <t>[0.01, 0.03, 0.1, 0.3, 1, 3, 10, 30, 100]</t>
        </is>
      </c>
      <c r="K20" s="9" t="inlineStr">
        <is>
          <t>clasen</t>
        </is>
      </c>
      <c r="L20" s="9" t="inlineStr">
        <is>
          <t>julia/experiments/tnwpaper/outputs/exptl_comparison</t>
        </is>
      </c>
      <c r="M20" t="inlineStr">
        <is>
          <t>SUPERSEDED: old Sample-E h*K=0.04 (use clasen_e_km@0.03)</t>
        </is>
      </c>
    </row>
    <row r="21" customFormat="1" s="9">
      <c r="A21" s="9" t="b">
        <v>0</v>
      </c>
      <c r="B21" s="9" t="n">
        <v>20</v>
      </c>
      <c r="C21" s="9" t="inlineStr">
        <is>
          <t>C1</t>
        </is>
      </c>
      <c r="D21" s="9" t="inlineStr">
        <is>
          <t>caber</t>
        </is>
      </c>
      <c r="E21" s="9" t="n">
        <v>11200</v>
      </c>
      <c r="F21" s="9" t="n">
        <v>0.04</v>
      </c>
      <c r="G21" s="9" t="inlineStr">
        <is>
          <t>fenepm</t>
        </is>
      </c>
      <c r="H21" s="9" t="inlineStr">
        <is>
          <t>c2d2</t>
        </is>
      </c>
      <c r="I21" s="9" t="n">
        <v>0.004</v>
      </c>
      <c r="J21" s="9" t="inlineStr">
        <is>
          <t>[0.01, 0.03, 0.1, 0.3, 1, 3, 10, 30, 100]</t>
        </is>
      </c>
      <c r="K21" s="9" t="inlineStr">
        <is>
          <t>clasen</t>
        </is>
      </c>
      <c r="L21" s="9" t="inlineStr">
        <is>
          <t>julia/experiments/tnwpaper/outputs/exptl_comparison</t>
        </is>
      </c>
      <c r="M21" t="inlineStr">
        <is>
          <t>SUPERSEDED: old Sample-E h*K=0.04 (use clasen_e_km@0.03)</t>
        </is>
      </c>
    </row>
    <row r="22" customFormat="1" s="9">
      <c r="A22" s="9" t="b">
        <v>0</v>
      </c>
      <c r="B22" s="9" t="n">
        <v>21</v>
      </c>
      <c r="C22" s="9" t="inlineStr">
        <is>
          <t>C2</t>
        </is>
      </c>
      <c r="D22" s="9" t="inlineStr">
        <is>
          <t>styext</t>
        </is>
      </c>
      <c r="E22" s="9" t="n">
        <v>11200</v>
      </c>
      <c r="F22" s="9" t="n">
        <v>0.04</v>
      </c>
      <c r="G22" s="9" t="inlineStr">
        <is>
          <t>fenepm</t>
        </is>
      </c>
      <c r="H22" s="9" t="inlineStr">
        <is>
          <t>constant</t>
        </is>
      </c>
      <c r="I22" s="9" t="n">
        <v>0.005</v>
      </c>
      <c r="J22" s="9" t="n">
        <v>1</v>
      </c>
      <c r="K22" s="9" t="inlineStr">
        <is>
          <t>clasen</t>
        </is>
      </c>
      <c r="L22" s="9" t="inlineStr">
        <is>
          <t>julia/experiments/tnwpaper/outputs/exptl_comparison</t>
        </is>
      </c>
      <c r="M22" t="inlineStr">
        <is>
          <t>SUPERSEDED: old Sample-E h*K=0.04 (use clasen_e_km@0.03)</t>
        </is>
      </c>
    </row>
    <row r="23" customFormat="1" s="9">
      <c r="A23" s="9" t="b">
        <v>0</v>
      </c>
      <c r="B23" s="9" t="n">
        <v>22</v>
      </c>
      <c r="C23" s="9" t="inlineStr">
        <is>
          <t>C2</t>
        </is>
      </c>
      <c r="D23" s="9" t="inlineStr">
        <is>
          <t>styext</t>
        </is>
      </c>
      <c r="E23" s="9" t="n">
        <v>11200</v>
      </c>
      <c r="F23" s="9" t="n">
        <v>0.04</v>
      </c>
      <c r="G23" s="9" t="inlineStr">
        <is>
          <t>fenepm</t>
        </is>
      </c>
      <c r="H23" s="9" t="inlineStr">
        <is>
          <t>c2d2</t>
        </is>
      </c>
      <c r="I23" s="9" t="n">
        <v>0.005</v>
      </c>
      <c r="J23" s="9" t="n">
        <v>1</v>
      </c>
      <c r="K23" s="9" t="inlineStr">
        <is>
          <t>clasen</t>
        </is>
      </c>
      <c r="L23" s="9" t="inlineStr">
        <is>
          <t>julia/experiments/tnwpaper/outputs/exptl_comparison</t>
        </is>
      </c>
      <c r="M23" t="inlineStr">
        <is>
          <t>SUPERSEDED: old Sample-E h*K=0.04 (use clasen_e_km@0.03)</t>
        </is>
      </c>
    </row>
    <row r="24" customFormat="1" s="9">
      <c r="A24" s="9" t="b">
        <v>0</v>
      </c>
      <c r="B24" s="9" t="n">
        <v>23</v>
      </c>
      <c r="C24" s="9" t="inlineStr">
        <is>
          <t>C2</t>
        </is>
      </c>
      <c r="D24" s="9" t="inlineStr">
        <is>
          <t>caber</t>
        </is>
      </c>
      <c r="E24" s="9" t="n">
        <v>11200</v>
      </c>
      <c r="F24" s="9" t="n">
        <v>0.04</v>
      </c>
      <c r="G24" s="9" t="inlineStr">
        <is>
          <t>fenepm</t>
        </is>
      </c>
      <c r="H24" s="9" t="inlineStr">
        <is>
          <t>constant</t>
        </is>
      </c>
      <c r="I24" s="9" t="n">
        <v>0.005</v>
      </c>
      <c r="J24" s="9" t="inlineStr">
        <is>
          <t>[0.01, 0.03, 0.1, 0.3, 1, 3, 10, 30, 100]</t>
        </is>
      </c>
      <c r="K24" s="9" t="inlineStr">
        <is>
          <t>clasen</t>
        </is>
      </c>
      <c r="L24" s="9" t="inlineStr">
        <is>
          <t>julia/experiments/tnwpaper/outputs/exptl_comparison</t>
        </is>
      </c>
      <c r="M24" t="inlineStr">
        <is>
          <t>SUPERSEDED: old Sample-E h*K=0.04 (use clasen_e_km@0.03)</t>
        </is>
      </c>
    </row>
    <row r="25" customFormat="1" s="9">
      <c r="A25" s="9" t="b">
        <v>0</v>
      </c>
      <c r="B25" s="9" t="n">
        <v>24</v>
      </c>
      <c r="C25" s="9" t="inlineStr">
        <is>
          <t>C2</t>
        </is>
      </c>
      <c r="D25" s="9" t="inlineStr">
        <is>
          <t>caber</t>
        </is>
      </c>
      <c r="E25" s="9" t="n">
        <v>11200</v>
      </c>
      <c r="F25" s="9" t="n">
        <v>0.04</v>
      </c>
      <c r="G25" s="9" t="inlineStr">
        <is>
          <t>fenepm</t>
        </is>
      </c>
      <c r="H25" s="9" t="inlineStr">
        <is>
          <t>c2d2</t>
        </is>
      </c>
      <c r="I25" s="9" t="n">
        <v>0.005</v>
      </c>
      <c r="J25" s="9" t="inlineStr">
        <is>
          <t>[0.01, 0.03, 0.1, 0.3, 1, 3, 10, 30, 100]</t>
        </is>
      </c>
      <c r="K25" s="9" t="inlineStr">
        <is>
          <t>clasen</t>
        </is>
      </c>
      <c r="L25" s="9" t="inlineStr">
        <is>
          <t>julia/experiments/tnwpaper/outputs/exptl_comparison</t>
        </is>
      </c>
      <c r="M25" t="inlineStr">
        <is>
          <t>SUPERSEDED: old Sample-E h*K=0.04 (use clasen_e_km@0.03)</t>
        </is>
      </c>
    </row>
    <row r="26" customFormat="1" s="9">
      <c r="A26" s="9" t="b">
        <v>0</v>
      </c>
      <c r="B26" s="9" t="n">
        <v>25</v>
      </c>
      <c r="C26" s="9" t="inlineStr">
        <is>
          <t>C3</t>
        </is>
      </c>
      <c r="D26" s="9" t="inlineStr">
        <is>
          <t>styext</t>
        </is>
      </c>
      <c r="E26" s="9" t="n">
        <v>11200</v>
      </c>
      <c r="F26" s="9" t="n">
        <v>0.04</v>
      </c>
      <c r="G26" s="9" t="inlineStr">
        <is>
          <t>fenepm</t>
        </is>
      </c>
      <c r="H26" s="9" t="inlineStr">
        <is>
          <t>constant</t>
        </is>
      </c>
      <c r="I26" s="9" t="n">
        <v>0.016</v>
      </c>
      <c r="J26" s="9" t="n">
        <v>1</v>
      </c>
      <c r="K26" s="9" t="inlineStr">
        <is>
          <t>clasen</t>
        </is>
      </c>
      <c r="L26" s="9" t="inlineStr">
        <is>
          <t>julia/experiments/tnwpaper/outputs/exptl_comparison</t>
        </is>
      </c>
      <c r="M26" t="inlineStr">
        <is>
          <t>SUPERSEDED: old Sample-E h*K=0.04 (use clasen_e_km@0.03)</t>
        </is>
      </c>
    </row>
    <row r="27" customFormat="1" s="9">
      <c r="A27" s="9" t="b">
        <v>0</v>
      </c>
      <c r="B27" s="9" t="n">
        <v>26</v>
      </c>
      <c r="C27" s="9" t="inlineStr">
        <is>
          <t>C3</t>
        </is>
      </c>
      <c r="D27" s="9" t="inlineStr">
        <is>
          <t>styext</t>
        </is>
      </c>
      <c r="E27" s="9" t="n">
        <v>11200</v>
      </c>
      <c r="F27" s="9" t="n">
        <v>0.04</v>
      </c>
      <c r="G27" s="9" t="inlineStr">
        <is>
          <t>fenepm</t>
        </is>
      </c>
      <c r="H27" s="9" t="inlineStr">
        <is>
          <t>c2d2</t>
        </is>
      </c>
      <c r="I27" s="9" t="n">
        <v>0.016</v>
      </c>
      <c r="J27" s="9" t="n">
        <v>1</v>
      </c>
      <c r="K27" s="9" t="inlineStr">
        <is>
          <t>clasen</t>
        </is>
      </c>
      <c r="L27" s="9" t="inlineStr">
        <is>
          <t>julia/experiments/tnwpaper/outputs/exptl_comparison</t>
        </is>
      </c>
      <c r="M27" t="inlineStr">
        <is>
          <t>SUPERSEDED: old Sample-E h*K=0.04 (use clasen_e_km@0.03)</t>
        </is>
      </c>
    </row>
    <row r="28" customFormat="1" s="9">
      <c r="A28" s="9" t="b">
        <v>0</v>
      </c>
      <c r="B28" s="9" t="n">
        <v>27</v>
      </c>
      <c r="C28" s="9" t="inlineStr">
        <is>
          <t>C3</t>
        </is>
      </c>
      <c r="D28" s="9" t="inlineStr">
        <is>
          <t>caber</t>
        </is>
      </c>
      <c r="E28" s="9" t="n">
        <v>11200</v>
      </c>
      <c r="F28" s="9" t="n">
        <v>0.04</v>
      </c>
      <c r="G28" s="9" t="inlineStr">
        <is>
          <t>fenepm</t>
        </is>
      </c>
      <c r="H28" s="9" t="inlineStr">
        <is>
          <t>constant</t>
        </is>
      </c>
      <c r="I28" s="9" t="n">
        <v>0.016</v>
      </c>
      <c r="J28" s="9" t="inlineStr">
        <is>
          <t>[0.01, 0.03, 0.1, 0.3, 1, 3, 10, 30, 100]</t>
        </is>
      </c>
      <c r="K28" s="9" t="inlineStr">
        <is>
          <t>clasen</t>
        </is>
      </c>
      <c r="L28" s="9" t="inlineStr">
        <is>
          <t>julia/experiments/tnwpaper/outputs/exptl_comparison</t>
        </is>
      </c>
      <c r="M28" t="inlineStr">
        <is>
          <t>SUPERSEDED: old Sample-E h*K=0.04 (use clasen_e_km@0.03)</t>
        </is>
      </c>
    </row>
    <row r="29" customFormat="1" s="9">
      <c r="A29" s="9" t="b">
        <v>0</v>
      </c>
      <c r="B29" s="9" t="n">
        <v>28</v>
      </c>
      <c r="C29" s="9" t="inlineStr">
        <is>
          <t>C3</t>
        </is>
      </c>
      <c r="D29" s="9" t="inlineStr">
        <is>
          <t>caber</t>
        </is>
      </c>
      <c r="E29" s="9" t="n">
        <v>11200</v>
      </c>
      <c r="F29" s="9" t="n">
        <v>0.04</v>
      </c>
      <c r="G29" s="9" t="inlineStr">
        <is>
          <t>fenepm</t>
        </is>
      </c>
      <c r="H29" s="9" t="inlineStr">
        <is>
          <t>c2d2</t>
        </is>
      </c>
      <c r="I29" s="9" t="n">
        <v>0.016</v>
      </c>
      <c r="J29" s="9" t="inlineStr">
        <is>
          <t>[0.01, 0.03, 0.1, 0.3, 1, 3, 10, 30, 100]</t>
        </is>
      </c>
      <c r="K29" s="9" t="inlineStr">
        <is>
          <t>clasen</t>
        </is>
      </c>
      <c r="L29" s="9" t="inlineStr">
        <is>
          <t>julia/experiments/tnwpaper/outputs/exptl_comparison</t>
        </is>
      </c>
      <c r="M29" t="inlineStr">
        <is>
          <t>SUPERSEDED: old Sample-E h*K=0.04 (use clasen_e_km@0.03)</t>
        </is>
      </c>
    </row>
    <row r="30" customFormat="1" s="9">
      <c r="A30" s="9" t="b">
        <v>0</v>
      </c>
      <c r="B30" s="9" t="n">
        <v>29</v>
      </c>
      <c r="C30" s="9" t="inlineStr">
        <is>
          <t>C4</t>
        </is>
      </c>
      <c r="D30" s="9" t="inlineStr">
        <is>
          <t>styext</t>
        </is>
      </c>
      <c r="E30" s="9" t="n">
        <v>11200</v>
      </c>
      <c r="F30" s="9" t="n">
        <v>0.04</v>
      </c>
      <c r="G30" s="9" t="inlineStr">
        <is>
          <t>fenepm</t>
        </is>
      </c>
      <c r="H30" s="9" t="inlineStr">
        <is>
          <t>constant</t>
        </is>
      </c>
      <c r="I30" s="9" t="n">
        <v>0.05</v>
      </c>
      <c r="J30" s="9" t="n">
        <v>1</v>
      </c>
      <c r="K30" s="9" t="inlineStr">
        <is>
          <t>clasen</t>
        </is>
      </c>
      <c r="L30" s="9" t="inlineStr">
        <is>
          <t>julia/experiments/tnwpaper/outputs/exptl_comparison</t>
        </is>
      </c>
      <c r="M30" t="inlineStr">
        <is>
          <t>SUPERSEDED: old Sample-E h*K=0.04 (use clasen_e_km@0.03)</t>
        </is>
      </c>
    </row>
    <row r="31" customFormat="1" s="9">
      <c r="A31" s="9" t="b">
        <v>0</v>
      </c>
      <c r="B31" s="9" t="n">
        <v>30</v>
      </c>
      <c r="C31" s="9" t="inlineStr">
        <is>
          <t>C4</t>
        </is>
      </c>
      <c r="D31" s="9" t="inlineStr">
        <is>
          <t>styext</t>
        </is>
      </c>
      <c r="E31" s="9" t="n">
        <v>11200</v>
      </c>
      <c r="F31" s="9" t="n">
        <v>0.04</v>
      </c>
      <c r="G31" s="9" t="inlineStr">
        <is>
          <t>fenepm</t>
        </is>
      </c>
      <c r="H31" s="9" t="inlineStr">
        <is>
          <t>c2d2</t>
        </is>
      </c>
      <c r="I31" s="9" t="n">
        <v>0.05</v>
      </c>
      <c r="J31" s="9" t="n">
        <v>1</v>
      </c>
      <c r="K31" s="9" t="inlineStr">
        <is>
          <t>clasen</t>
        </is>
      </c>
      <c r="L31" s="9" t="inlineStr">
        <is>
          <t>julia/experiments/tnwpaper/outputs/exptl_comparison</t>
        </is>
      </c>
      <c r="M31" t="inlineStr">
        <is>
          <t>SUPERSEDED: old Sample-E h*K=0.04 (use clasen_e_km@0.03)</t>
        </is>
      </c>
    </row>
    <row r="32" customFormat="1" s="9">
      <c r="A32" s="9" t="b">
        <v>0</v>
      </c>
      <c r="B32" s="9" t="n">
        <v>31</v>
      </c>
      <c r="C32" s="9" t="inlineStr">
        <is>
          <t>C4</t>
        </is>
      </c>
      <c r="D32" s="9" t="inlineStr">
        <is>
          <t>caber</t>
        </is>
      </c>
      <c r="E32" s="9" t="n">
        <v>11200</v>
      </c>
      <c r="F32" s="9" t="n">
        <v>0.04</v>
      </c>
      <c r="G32" s="9" t="inlineStr">
        <is>
          <t>fenepm</t>
        </is>
      </c>
      <c r="H32" s="9" t="inlineStr">
        <is>
          <t>constant</t>
        </is>
      </c>
      <c r="I32" s="9" t="n">
        <v>0.05</v>
      </c>
      <c r="J32" s="9" t="inlineStr">
        <is>
          <t>[0.01, 0.03, 0.1, 0.3, 1, 3, 10, 30, 100]</t>
        </is>
      </c>
      <c r="K32" s="9" t="inlineStr">
        <is>
          <t>clasen</t>
        </is>
      </c>
      <c r="L32" s="9" t="inlineStr">
        <is>
          <t>julia/experiments/tnwpaper/outputs/exptl_comparison</t>
        </is>
      </c>
      <c r="M32" t="inlineStr">
        <is>
          <t>SUPERSEDED: old Sample-E h*K=0.04 (use clasen_e_km@0.03)</t>
        </is>
      </c>
    </row>
    <row r="33" customFormat="1" s="9">
      <c r="A33" s="9" t="b">
        <v>0</v>
      </c>
      <c r="B33" s="9" t="n">
        <v>32</v>
      </c>
      <c r="C33" s="9" t="inlineStr">
        <is>
          <t>C4</t>
        </is>
      </c>
      <c r="D33" s="9" t="inlineStr">
        <is>
          <t>caber</t>
        </is>
      </c>
      <c r="E33" s="9" t="n">
        <v>11200</v>
      </c>
      <c r="F33" s="9" t="n">
        <v>0.04</v>
      </c>
      <c r="G33" s="9" t="inlineStr">
        <is>
          <t>fenepm</t>
        </is>
      </c>
      <c r="H33" s="9" t="inlineStr">
        <is>
          <t>c2d2</t>
        </is>
      </c>
      <c r="I33" s="9" t="n">
        <v>0.05</v>
      </c>
      <c r="J33" s="9" t="inlineStr">
        <is>
          <t>[0.01, 0.03, 0.1, 0.3, 1, 3, 10, 30, 100]</t>
        </is>
      </c>
      <c r="K33" s="9" t="inlineStr">
        <is>
          <t>clasen</t>
        </is>
      </c>
      <c r="L33" s="9" t="inlineStr">
        <is>
          <t>julia/experiments/tnwpaper/outputs/exptl_comparison</t>
        </is>
      </c>
      <c r="M33" t="inlineStr">
        <is>
          <t>SUPERSEDED: old Sample-E h*K=0.04 (use clasen_e_km@0.03)</t>
        </is>
      </c>
    </row>
    <row r="34" customFormat="1" s="9">
      <c r="A34" s="9" t="b">
        <v>0</v>
      </c>
      <c r="B34" s="9" t="n">
        <v>33</v>
      </c>
      <c r="C34" s="9" t="inlineStr">
        <is>
          <t>C5</t>
        </is>
      </c>
      <c r="D34" s="9" t="inlineStr">
        <is>
          <t>styext</t>
        </is>
      </c>
      <c r="E34" s="9" t="n">
        <v>11200</v>
      </c>
      <c r="F34" s="9" t="n">
        <v>0.04</v>
      </c>
      <c r="G34" s="9" t="inlineStr">
        <is>
          <t>fenepm</t>
        </is>
      </c>
      <c r="H34" s="9" t="inlineStr">
        <is>
          <t>constant</t>
        </is>
      </c>
      <c r="I34" s="9" t="n">
        <v>0.16</v>
      </c>
      <c r="J34" s="9" t="n">
        <v>1</v>
      </c>
      <c r="K34" s="9" t="inlineStr">
        <is>
          <t>clasen</t>
        </is>
      </c>
      <c r="L34" s="9" t="inlineStr">
        <is>
          <t>julia/experiments/tnwpaper/outputs/exptl_comparison</t>
        </is>
      </c>
      <c r="M34" t="inlineStr">
        <is>
          <t>SUPERSEDED: old Sample-E h*K=0.04 (use clasen_e_km@0.03)</t>
        </is>
      </c>
    </row>
    <row r="35" customFormat="1" s="9">
      <c r="A35" s="9" t="b">
        <v>0</v>
      </c>
      <c r="B35" s="9" t="n">
        <v>34</v>
      </c>
      <c r="C35" s="9" t="inlineStr">
        <is>
          <t>C5</t>
        </is>
      </c>
      <c r="D35" s="9" t="inlineStr">
        <is>
          <t>styext</t>
        </is>
      </c>
      <c r="E35" s="9" t="n">
        <v>11200</v>
      </c>
      <c r="F35" s="9" t="n">
        <v>0.04</v>
      </c>
      <c r="G35" s="9" t="inlineStr">
        <is>
          <t>fenepm</t>
        </is>
      </c>
      <c r="H35" s="9" t="inlineStr">
        <is>
          <t>c2d2</t>
        </is>
      </c>
      <c r="I35" s="9" t="n">
        <v>0.16</v>
      </c>
      <c r="J35" s="9" t="n">
        <v>1</v>
      </c>
      <c r="K35" s="9" t="inlineStr">
        <is>
          <t>clasen</t>
        </is>
      </c>
      <c r="L35" s="9" t="inlineStr">
        <is>
          <t>julia/experiments/tnwpaper/outputs/exptl_comparison</t>
        </is>
      </c>
      <c r="M35" t="inlineStr">
        <is>
          <t>SUPERSEDED: old Sample-E h*K=0.04 (use clasen_e_km@0.03)</t>
        </is>
      </c>
    </row>
    <row r="36" customFormat="1" s="9">
      <c r="A36" s="9" t="b">
        <v>0</v>
      </c>
      <c r="B36" s="9" t="n">
        <v>35</v>
      </c>
      <c r="C36" s="9" t="inlineStr">
        <is>
          <t>C5</t>
        </is>
      </c>
      <c r="D36" s="9" t="inlineStr">
        <is>
          <t>caber</t>
        </is>
      </c>
      <c r="E36" s="9" t="n">
        <v>11200</v>
      </c>
      <c r="F36" s="9" t="n">
        <v>0.04</v>
      </c>
      <c r="G36" s="9" t="inlineStr">
        <is>
          <t>fenepm</t>
        </is>
      </c>
      <c r="H36" s="9" t="inlineStr">
        <is>
          <t>constant</t>
        </is>
      </c>
      <c r="I36" s="9" t="n">
        <v>0.16</v>
      </c>
      <c r="J36" s="9" t="inlineStr">
        <is>
          <t>[0.01, 0.03, 0.1, 0.3, 1, 3, 10, 30, 100]</t>
        </is>
      </c>
      <c r="K36" s="9" t="inlineStr">
        <is>
          <t>clasen</t>
        </is>
      </c>
      <c r="L36" s="9" t="inlineStr">
        <is>
          <t>julia/experiments/tnwpaper/outputs/exptl_comparison</t>
        </is>
      </c>
      <c r="M36" t="inlineStr">
        <is>
          <t>SUPERSEDED: old Sample-E h*K=0.04 (use clasen_e_km@0.03)</t>
        </is>
      </c>
    </row>
    <row r="37" customFormat="1" s="9">
      <c r="A37" s="9" t="b">
        <v>0</v>
      </c>
      <c r="B37" s="9" t="n">
        <v>36</v>
      </c>
      <c r="C37" s="9" t="inlineStr">
        <is>
          <t>C5</t>
        </is>
      </c>
      <c r="D37" s="9" t="inlineStr">
        <is>
          <t>caber</t>
        </is>
      </c>
      <c r="E37" s="9" t="n">
        <v>11200</v>
      </c>
      <c r="F37" s="9" t="n">
        <v>0.04</v>
      </c>
      <c r="G37" s="9" t="inlineStr">
        <is>
          <t>fenepm</t>
        </is>
      </c>
      <c r="H37" s="9" t="inlineStr">
        <is>
          <t>c2d2</t>
        </is>
      </c>
      <c r="I37" s="9" t="n">
        <v>0.16</v>
      </c>
      <c r="J37" s="9" t="inlineStr">
        <is>
          <t>[0.01, 0.03, 0.1, 0.3, 1, 3, 10, 30, 100]</t>
        </is>
      </c>
      <c r="K37" s="9" t="inlineStr">
        <is>
          <t>clasen</t>
        </is>
      </c>
      <c r="L37" s="9" t="inlineStr">
        <is>
          <t>julia/experiments/tnwpaper/outputs/exptl_comparison</t>
        </is>
      </c>
      <c r="M37" t="inlineStr">
        <is>
          <t>SUPERSEDED: old Sample-E h*K=0.04 (use clasen_e_km@0.03)</t>
        </is>
      </c>
    </row>
    <row r="38" customFormat="1" s="9">
      <c r="A38" s="9" t="b">
        <v>0</v>
      </c>
      <c r="B38" s="9" t="n">
        <v>37</v>
      </c>
      <c r="C38" s="9" t="inlineStr">
        <is>
          <t>C6</t>
        </is>
      </c>
      <c r="D38" s="9" t="inlineStr">
        <is>
          <t>styext</t>
        </is>
      </c>
      <c r="E38" s="9" t="n">
        <v>11200</v>
      </c>
      <c r="F38" s="9" t="n">
        <v>0.04</v>
      </c>
      <c r="G38" s="9" t="inlineStr">
        <is>
          <t>fenepm</t>
        </is>
      </c>
      <c r="H38" s="9" t="inlineStr">
        <is>
          <t>constant</t>
        </is>
      </c>
      <c r="I38" s="9" t="n">
        <v>0.51</v>
      </c>
      <c r="J38" s="9" t="n">
        <v>1</v>
      </c>
      <c r="K38" s="9" t="inlineStr">
        <is>
          <t>clasen</t>
        </is>
      </c>
      <c r="L38" s="9" t="inlineStr">
        <is>
          <t>julia/experiments/tnwpaper/outputs/exptl_comparison</t>
        </is>
      </c>
      <c r="M38" t="inlineStr">
        <is>
          <t>SUPERSEDED: old Sample-E h*K=0.04 (use clasen_e_km@0.03)</t>
        </is>
      </c>
    </row>
    <row r="39" customFormat="1" s="9">
      <c r="A39" s="9" t="b">
        <v>0</v>
      </c>
      <c r="B39" s="9" t="n">
        <v>38</v>
      </c>
      <c r="C39" s="9" t="inlineStr">
        <is>
          <t>C6</t>
        </is>
      </c>
      <c r="D39" s="9" t="inlineStr">
        <is>
          <t>styext</t>
        </is>
      </c>
      <c r="E39" s="9" t="n">
        <v>11200</v>
      </c>
      <c r="F39" s="9" t="n">
        <v>0.04</v>
      </c>
      <c r="G39" s="9" t="inlineStr">
        <is>
          <t>fenepm</t>
        </is>
      </c>
      <c r="H39" s="9" t="inlineStr">
        <is>
          <t>c2d2</t>
        </is>
      </c>
      <c r="I39" s="9" t="n">
        <v>0.51</v>
      </c>
      <c r="J39" s="9" t="n">
        <v>1</v>
      </c>
      <c r="K39" s="9" t="inlineStr">
        <is>
          <t>clasen</t>
        </is>
      </c>
      <c r="L39" s="9" t="inlineStr">
        <is>
          <t>julia/experiments/tnwpaper/outputs/exptl_comparison</t>
        </is>
      </c>
      <c r="M39" t="inlineStr">
        <is>
          <t>SUPERSEDED: old Sample-E h*K=0.04 (use clasen_e_km@0.03)</t>
        </is>
      </c>
    </row>
    <row r="40" customFormat="1" s="9">
      <c r="A40" s="9" t="b">
        <v>0</v>
      </c>
      <c r="B40" s="9" t="n">
        <v>39</v>
      </c>
      <c r="C40" s="9" t="inlineStr">
        <is>
          <t>C6</t>
        </is>
      </c>
      <c r="D40" s="9" t="inlineStr">
        <is>
          <t>caber</t>
        </is>
      </c>
      <c r="E40" s="9" t="n">
        <v>11200</v>
      </c>
      <c r="F40" s="9" t="n">
        <v>0.04</v>
      </c>
      <c r="G40" s="9" t="inlineStr">
        <is>
          <t>fenepm</t>
        </is>
      </c>
      <c r="H40" s="9" t="inlineStr">
        <is>
          <t>constant</t>
        </is>
      </c>
      <c r="I40" s="9" t="n">
        <v>0.51</v>
      </c>
      <c r="J40" s="9" t="inlineStr">
        <is>
          <t>[0.01, 0.03, 0.1, 0.3, 1, 3, 10, 30, 100]</t>
        </is>
      </c>
      <c r="K40" s="9" t="inlineStr">
        <is>
          <t>clasen</t>
        </is>
      </c>
      <c r="L40" s="9" t="inlineStr">
        <is>
          <t>julia/experiments/tnwpaper/outputs/exptl_comparison</t>
        </is>
      </c>
      <c r="M40" t="inlineStr">
        <is>
          <t>SUPERSEDED: old Sample-E h*K=0.04 (use clasen_e_km@0.03)</t>
        </is>
      </c>
    </row>
    <row r="41" customFormat="1" s="9">
      <c r="A41" s="9" t="b">
        <v>0</v>
      </c>
      <c r="B41" s="9" t="n">
        <v>40</v>
      </c>
      <c r="C41" s="9" t="inlineStr">
        <is>
          <t>C6</t>
        </is>
      </c>
      <c r="D41" s="9" t="inlineStr">
        <is>
          <t>caber</t>
        </is>
      </c>
      <c r="E41" s="9" t="n">
        <v>11200</v>
      </c>
      <c r="F41" s="9" t="n">
        <v>0.04</v>
      </c>
      <c r="G41" s="9" t="inlineStr">
        <is>
          <t>fenepm</t>
        </is>
      </c>
      <c r="H41" s="9" t="inlineStr">
        <is>
          <t>c2d2</t>
        </is>
      </c>
      <c r="I41" s="9" t="n">
        <v>0.51</v>
      </c>
      <c r="J41" s="9" t="inlineStr">
        <is>
          <t>[0.01, 0.03, 0.1, 0.3, 1, 3, 10, 30, 100]</t>
        </is>
      </c>
      <c r="K41" s="9" t="inlineStr">
        <is>
          <t>clasen</t>
        </is>
      </c>
      <c r="L41" s="9" t="inlineStr">
        <is>
          <t>julia/experiments/tnwpaper/outputs/exptl_comparison</t>
        </is>
      </c>
      <c r="M41" t="inlineStr">
        <is>
          <t>SUPERSEDED: old Sample-E h*K=0.04 (use clasen_e_km@0.03)</t>
        </is>
      </c>
    </row>
    <row r="42" customFormat="1" s="10">
      <c r="A42" s="10" t="b">
        <v>1</v>
      </c>
      <c r="B42" s="10" t="n">
        <v>41</v>
      </c>
      <c r="C42" s="10" t="inlineStr">
        <is>
          <t>VC1</t>
        </is>
      </c>
      <c r="D42" s="10" t="inlineStr">
        <is>
          <t>styext</t>
        </is>
      </c>
      <c r="E42" s="10" t="n">
        <v>9300</v>
      </c>
      <c r="F42" s="10" t="n">
        <v>0.015</v>
      </c>
      <c r="G42" s="10" t="inlineStr">
        <is>
          <t>fenepm</t>
        </is>
      </c>
      <c r="H42" s="10" t="inlineStr">
        <is>
          <t>constant</t>
        </is>
      </c>
      <c r="I42" s="10" t="n">
        <v>0.09</v>
      </c>
      <c r="J42" s="10" t="inlineStr">
        <is>
          <t>[0.01, 0.03, 0.1, 0.3, 1, 3, 10, 30, 100]</t>
        </is>
      </c>
      <c r="K42" s="10" t="inlineStr">
        <is>
          <t>calabrese</t>
        </is>
      </c>
      <c r="L42" s="10" t="inlineStr">
        <is>
          <t>julia/experiments/tnwpaper/outputs/exptl_comparison</t>
        </is>
      </c>
      <c r="M42" t="inlineStr">
        <is>
          <t>CANONICAL: Calabrese VC1-4, c/c* number-density, h*K=0.015</t>
        </is>
      </c>
    </row>
    <row r="43" customFormat="1" s="10">
      <c r="A43" s="10" t="b">
        <v>1</v>
      </c>
      <c r="B43" s="10" t="n">
        <v>42</v>
      </c>
      <c r="C43" s="10" t="inlineStr">
        <is>
          <t>VC1</t>
        </is>
      </c>
      <c r="D43" s="10" t="inlineStr">
        <is>
          <t>styext</t>
        </is>
      </c>
      <c r="E43" s="10" t="n">
        <v>9300</v>
      </c>
      <c r="F43" s="10" t="n">
        <v>0.015</v>
      </c>
      <c r="G43" s="10" t="inlineStr">
        <is>
          <t>fenepm</t>
        </is>
      </c>
      <c r="H43" s="10" t="inlineStr">
        <is>
          <t>c2d2</t>
        </is>
      </c>
      <c r="I43" s="10" t="n">
        <v>0.09</v>
      </c>
      <c r="J43" s="10" t="inlineStr">
        <is>
          <t>[0.01, 0.03, 0.1, 0.3, 1, 3, 10, 30, 100]</t>
        </is>
      </c>
      <c r="K43" s="10" t="inlineStr">
        <is>
          <t>calabrese</t>
        </is>
      </c>
      <c r="L43" s="10" t="inlineStr">
        <is>
          <t>julia/experiments/tnwpaper/outputs/exptl_comparison</t>
        </is>
      </c>
      <c r="M43" t="inlineStr">
        <is>
          <t>CANONICAL: Calabrese VC1-4, c/c* number-density, h*K=0.015</t>
        </is>
      </c>
    </row>
    <row r="44" customFormat="1" s="10">
      <c r="A44" s="10" t="b">
        <v>1</v>
      </c>
      <c r="B44" s="10" t="n">
        <v>43</v>
      </c>
      <c r="C44" s="10" t="inlineStr">
        <is>
          <t>VC1</t>
        </is>
      </c>
      <c r="D44" s="10" t="inlineStr">
        <is>
          <t>caber</t>
        </is>
      </c>
      <c r="E44" s="10" t="n">
        <v>9300</v>
      </c>
      <c r="F44" s="10" t="n">
        <v>0.015</v>
      </c>
      <c r="G44" s="10" t="inlineStr">
        <is>
          <t>fenepm</t>
        </is>
      </c>
      <c r="H44" s="10" t="inlineStr">
        <is>
          <t>constant</t>
        </is>
      </c>
      <c r="I44" s="10" t="n">
        <v>0.09</v>
      </c>
      <c r="J44" s="10" t="inlineStr">
        <is>
          <t>[0.01, 0.03, 0.1, 0.3, 1, 3, 10, 30, 100]</t>
        </is>
      </c>
      <c r="K44" s="10" t="inlineStr">
        <is>
          <t>calabrese</t>
        </is>
      </c>
      <c r="L44" s="10" t="inlineStr">
        <is>
          <t>julia/experiments/tnwpaper/outputs/exptl_comparison</t>
        </is>
      </c>
      <c r="M44" t="inlineStr">
        <is>
          <t>CANONICAL: Calabrese VC1-4, c/c* number-density, h*K=0.015</t>
        </is>
      </c>
    </row>
    <row r="45" customFormat="1" s="10">
      <c r="A45" s="10" t="b">
        <v>1</v>
      </c>
      <c r="B45" s="10" t="n">
        <v>44</v>
      </c>
      <c r="C45" s="10" t="inlineStr">
        <is>
          <t>VC1</t>
        </is>
      </c>
      <c r="D45" s="10" t="inlineStr">
        <is>
          <t>caber</t>
        </is>
      </c>
      <c r="E45" s="10" t="n">
        <v>9300</v>
      </c>
      <c r="F45" s="10" t="n">
        <v>0.015</v>
      </c>
      <c r="G45" s="10" t="inlineStr">
        <is>
          <t>fenepm</t>
        </is>
      </c>
      <c r="H45" s="10" t="inlineStr">
        <is>
          <t>c2d2</t>
        </is>
      </c>
      <c r="I45" s="10" t="n">
        <v>0.09</v>
      </c>
      <c r="J45" s="10" t="inlineStr">
        <is>
          <t>[0.01, 0.03, 0.1, 0.3, 1, 3, 10, 30, 100]</t>
        </is>
      </c>
      <c r="K45" s="10" t="inlineStr">
        <is>
          <t>calabrese</t>
        </is>
      </c>
      <c r="L45" s="10" t="inlineStr">
        <is>
          <t>julia/experiments/tnwpaper/outputs/exptl_comparison</t>
        </is>
      </c>
      <c r="M45" t="inlineStr">
        <is>
          <t>CANONICAL: Calabrese VC1-4, c/c* number-density, h*K=0.015</t>
        </is>
      </c>
    </row>
    <row r="46" customFormat="1" s="10">
      <c r="A46" s="10" t="b">
        <v>1</v>
      </c>
      <c r="B46" s="10" t="n">
        <v>45</v>
      </c>
      <c r="C46" s="10" t="inlineStr">
        <is>
          <t>VC2</t>
        </is>
      </c>
      <c r="D46" s="10" t="inlineStr">
        <is>
          <t>styext</t>
        </is>
      </c>
      <c r="E46" s="10" t="n">
        <v>9300</v>
      </c>
      <c r="F46" s="10" t="n">
        <v>0.015</v>
      </c>
      <c r="G46" s="10" t="inlineStr">
        <is>
          <t>fenepm</t>
        </is>
      </c>
      <c r="H46" s="10" t="inlineStr">
        <is>
          <t>constant</t>
        </is>
      </c>
      <c r="I46" s="10" t="n">
        <v>0.22</v>
      </c>
      <c r="J46" s="10" t="inlineStr">
        <is>
          <t>[0.01, 0.03, 0.1, 0.3, 1, 3, 10, 30, 100]</t>
        </is>
      </c>
      <c r="K46" s="10" t="inlineStr">
        <is>
          <t>calabrese</t>
        </is>
      </c>
      <c r="L46" s="10" t="inlineStr">
        <is>
          <t>julia/experiments/tnwpaper/outputs/exptl_comparison</t>
        </is>
      </c>
      <c r="M46" t="inlineStr">
        <is>
          <t>CANONICAL: Calabrese VC1-4, c/c* number-density, h*K=0.015</t>
        </is>
      </c>
    </row>
    <row r="47" customFormat="1" s="10">
      <c r="A47" s="10" t="b">
        <v>1</v>
      </c>
      <c r="B47" s="10" t="n">
        <v>46</v>
      </c>
      <c r="C47" s="10" t="inlineStr">
        <is>
          <t>VC2</t>
        </is>
      </c>
      <c r="D47" s="10" t="inlineStr">
        <is>
          <t>styext</t>
        </is>
      </c>
      <c r="E47" s="10" t="n">
        <v>9300</v>
      </c>
      <c r="F47" s="10" t="n">
        <v>0.015</v>
      </c>
      <c r="G47" s="10" t="inlineStr">
        <is>
          <t>fenepm</t>
        </is>
      </c>
      <c r="H47" s="10" t="inlineStr">
        <is>
          <t>c2d2</t>
        </is>
      </c>
      <c r="I47" s="10" t="n">
        <v>0.22</v>
      </c>
      <c r="J47" s="10" t="inlineStr">
        <is>
          <t>[0.01, 0.03, 0.1, 0.3, 1, 3, 10, 30, 100]</t>
        </is>
      </c>
      <c r="K47" s="10" t="inlineStr">
        <is>
          <t>calabrese</t>
        </is>
      </c>
      <c r="L47" s="10" t="inlineStr">
        <is>
          <t>julia/experiments/tnwpaper/outputs/exptl_comparison</t>
        </is>
      </c>
      <c r="M47" t="inlineStr">
        <is>
          <t>CANONICAL: Calabrese VC1-4, c/c* number-density, h*K=0.015</t>
        </is>
      </c>
    </row>
    <row r="48" customFormat="1" s="10">
      <c r="A48" s="10" t="b">
        <v>1</v>
      </c>
      <c r="B48" s="10" t="n">
        <v>47</v>
      </c>
      <c r="C48" s="10" t="inlineStr">
        <is>
          <t>VC2</t>
        </is>
      </c>
      <c r="D48" s="10" t="inlineStr">
        <is>
          <t>caber</t>
        </is>
      </c>
      <c r="E48" s="10" t="n">
        <v>9300</v>
      </c>
      <c r="F48" s="10" t="n">
        <v>0.015</v>
      </c>
      <c r="G48" s="10" t="inlineStr">
        <is>
          <t>fenepm</t>
        </is>
      </c>
      <c r="H48" s="10" t="inlineStr">
        <is>
          <t>constant</t>
        </is>
      </c>
      <c r="I48" s="10" t="n">
        <v>0.22</v>
      </c>
      <c r="J48" s="10" t="inlineStr">
        <is>
          <t>[0.01, 0.03, 0.1, 0.3, 1, 3, 10, 30, 100]</t>
        </is>
      </c>
      <c r="K48" s="10" t="inlineStr">
        <is>
          <t>calabrese</t>
        </is>
      </c>
      <c r="L48" s="10" t="inlineStr">
        <is>
          <t>julia/experiments/tnwpaper/outputs/exptl_comparison</t>
        </is>
      </c>
      <c r="M48" t="inlineStr">
        <is>
          <t>CANONICAL: Calabrese VC1-4, c/c* number-density, h*K=0.015</t>
        </is>
      </c>
    </row>
    <row r="49" customFormat="1" s="10">
      <c r="A49" s="10" t="b">
        <v>1</v>
      </c>
      <c r="B49" s="10" t="n">
        <v>48</v>
      </c>
      <c r="C49" s="10" t="inlineStr">
        <is>
          <t>VC2</t>
        </is>
      </c>
      <c r="D49" s="10" t="inlineStr">
        <is>
          <t>caber</t>
        </is>
      </c>
      <c r="E49" s="10" t="n">
        <v>9300</v>
      </c>
      <c r="F49" s="10" t="n">
        <v>0.015</v>
      </c>
      <c r="G49" s="10" t="inlineStr">
        <is>
          <t>fenepm</t>
        </is>
      </c>
      <c r="H49" s="10" t="inlineStr">
        <is>
          <t>c2d2</t>
        </is>
      </c>
      <c r="I49" s="10" t="n">
        <v>0.22</v>
      </c>
      <c r="J49" s="10" t="inlineStr">
        <is>
          <t>[0.01, 0.03, 0.1, 0.3, 1, 3, 10, 30, 100]</t>
        </is>
      </c>
      <c r="K49" s="10" t="inlineStr">
        <is>
          <t>calabrese</t>
        </is>
      </c>
      <c r="L49" s="10" t="inlineStr">
        <is>
          <t>julia/experiments/tnwpaper/outputs/exptl_comparison</t>
        </is>
      </c>
      <c r="M49" t="inlineStr">
        <is>
          <t>CANONICAL: Calabrese VC1-4, c/c* number-density, h*K=0.015</t>
        </is>
      </c>
    </row>
    <row r="50" customFormat="1" s="10">
      <c r="A50" s="10" t="b">
        <v>1</v>
      </c>
      <c r="B50" s="10" t="n">
        <v>49</v>
      </c>
      <c r="C50" s="10" t="inlineStr">
        <is>
          <t>VC3</t>
        </is>
      </c>
      <c r="D50" s="10" t="inlineStr">
        <is>
          <t>styext</t>
        </is>
      </c>
      <c r="E50" s="10" t="n">
        <v>21800</v>
      </c>
      <c r="F50" s="10" t="n">
        <v>0.015</v>
      </c>
      <c r="G50" s="10" t="inlineStr">
        <is>
          <t>fenepm</t>
        </is>
      </c>
      <c r="H50" s="10" t="inlineStr">
        <is>
          <t>constant</t>
        </is>
      </c>
      <c r="I50" s="10" t="n">
        <v>0.03</v>
      </c>
      <c r="J50" s="10" t="inlineStr">
        <is>
          <t>[0.01, 0.03, 0.1, 0.3, 1, 3, 10, 30, 100]</t>
        </is>
      </c>
      <c r="K50" s="10" t="inlineStr">
        <is>
          <t>calabrese</t>
        </is>
      </c>
      <c r="L50" s="10" t="inlineStr">
        <is>
          <t>julia/experiments/tnwpaper/outputs/exptl_comparison</t>
        </is>
      </c>
      <c r="M50" t="inlineStr">
        <is>
          <t>CANONICAL: Calabrese VC1-4, c/c* number-density, h*K=0.015</t>
        </is>
      </c>
    </row>
    <row r="51" customFormat="1" s="10">
      <c r="A51" s="10" t="b">
        <v>1</v>
      </c>
      <c r="B51" s="10" t="n">
        <v>50</v>
      </c>
      <c r="C51" s="10" t="inlineStr">
        <is>
          <t>VC3</t>
        </is>
      </c>
      <c r="D51" s="10" t="inlineStr">
        <is>
          <t>styext</t>
        </is>
      </c>
      <c r="E51" s="10" t="n">
        <v>21800</v>
      </c>
      <c r="F51" s="10" t="n">
        <v>0.015</v>
      </c>
      <c r="G51" s="10" t="inlineStr">
        <is>
          <t>fenepm</t>
        </is>
      </c>
      <c r="H51" s="10" t="inlineStr">
        <is>
          <t>c2d2</t>
        </is>
      </c>
      <c r="I51" s="10" t="n">
        <v>0.03</v>
      </c>
      <c r="J51" s="10" t="inlineStr">
        <is>
          <t>[0.01, 0.03, 0.1, 0.3, 1, 3, 10, 30, 100]</t>
        </is>
      </c>
      <c r="K51" s="10" t="inlineStr">
        <is>
          <t>calabrese</t>
        </is>
      </c>
      <c r="L51" s="10" t="inlineStr">
        <is>
          <t>julia/experiments/tnwpaper/outputs/exptl_comparison</t>
        </is>
      </c>
      <c r="M51" t="inlineStr">
        <is>
          <t>CANONICAL: Calabrese VC1-4, c/c* number-density, h*K=0.015</t>
        </is>
      </c>
    </row>
    <row r="52" customFormat="1" s="10">
      <c r="A52" s="10" t="b">
        <v>1</v>
      </c>
      <c r="B52" s="10" t="n">
        <v>51</v>
      </c>
      <c r="C52" s="10" t="inlineStr">
        <is>
          <t>VC3</t>
        </is>
      </c>
      <c r="D52" s="10" t="inlineStr">
        <is>
          <t>caber</t>
        </is>
      </c>
      <c r="E52" s="10" t="n">
        <v>21800</v>
      </c>
      <c r="F52" s="10" t="n">
        <v>0.015</v>
      </c>
      <c r="G52" s="10" t="inlineStr">
        <is>
          <t>fenepm</t>
        </is>
      </c>
      <c r="H52" s="10" t="inlineStr">
        <is>
          <t>constant</t>
        </is>
      </c>
      <c r="I52" s="10" t="n">
        <v>0.03</v>
      </c>
      <c r="J52" s="10" t="inlineStr">
        <is>
          <t>[0.01, 0.03, 0.1, 0.3, 1, 3, 10, 30, 100]</t>
        </is>
      </c>
      <c r="K52" s="10" t="inlineStr">
        <is>
          <t>calabrese</t>
        </is>
      </c>
      <c r="L52" s="10" t="inlineStr">
        <is>
          <t>julia/experiments/tnwpaper/outputs/exptl_comparison</t>
        </is>
      </c>
      <c r="M52" t="inlineStr">
        <is>
          <t>CANONICAL: Calabrese VC1-4, c/c* number-density, h*K=0.015</t>
        </is>
      </c>
    </row>
    <row r="53" customFormat="1" s="10">
      <c r="A53" s="10" t="b">
        <v>1</v>
      </c>
      <c r="B53" s="10" t="n">
        <v>52</v>
      </c>
      <c r="C53" s="10" t="inlineStr">
        <is>
          <t>VC3</t>
        </is>
      </c>
      <c r="D53" s="10" t="inlineStr">
        <is>
          <t>caber</t>
        </is>
      </c>
      <c r="E53" s="10" t="n">
        <v>21800</v>
      </c>
      <c r="F53" s="10" t="n">
        <v>0.015</v>
      </c>
      <c r="G53" s="10" t="inlineStr">
        <is>
          <t>fenepm</t>
        </is>
      </c>
      <c r="H53" s="10" t="inlineStr">
        <is>
          <t>c2d2</t>
        </is>
      </c>
      <c r="I53" s="10" t="n">
        <v>0.03</v>
      </c>
      <c r="J53" s="10" t="inlineStr">
        <is>
          <t>[0.01, 0.03, 0.1, 0.3, 1, 3, 10, 30, 100]</t>
        </is>
      </c>
      <c r="K53" s="10" t="inlineStr">
        <is>
          <t>calabrese</t>
        </is>
      </c>
      <c r="L53" s="10" t="inlineStr">
        <is>
          <t>julia/experiments/tnwpaper/outputs/exptl_comparison</t>
        </is>
      </c>
      <c r="M53" t="inlineStr">
        <is>
          <t>CANONICAL: Calabrese VC1-4, c/c* number-density, h*K=0.015</t>
        </is>
      </c>
    </row>
    <row r="54" customFormat="1" s="10">
      <c r="A54" s="10" t="b">
        <v>1</v>
      </c>
      <c r="B54" s="10" t="n">
        <v>53</v>
      </c>
      <c r="C54" s="10" t="inlineStr">
        <is>
          <t>VC4</t>
        </is>
      </c>
      <c r="D54" s="10" t="inlineStr">
        <is>
          <t>styext</t>
        </is>
      </c>
      <c r="E54" s="10" t="n">
        <v>21800</v>
      </c>
      <c r="F54" s="10" t="n">
        <v>0.015</v>
      </c>
      <c r="G54" s="10" t="inlineStr">
        <is>
          <t>fenepm</t>
        </is>
      </c>
      <c r="H54" s="10" t="inlineStr">
        <is>
          <t>constant</t>
        </is>
      </c>
      <c r="I54" s="10" t="n">
        <v>0.07000000000000001</v>
      </c>
      <c r="J54" s="10" t="inlineStr">
        <is>
          <t>[0.01, 0.03, 0.1, 0.3, 1, 3, 10, 30, 100]</t>
        </is>
      </c>
      <c r="K54" s="10" t="inlineStr">
        <is>
          <t>calabrese</t>
        </is>
      </c>
      <c r="L54" s="10" t="inlineStr">
        <is>
          <t>julia/experiments/tnwpaper/outputs/exptl_comparison</t>
        </is>
      </c>
      <c r="M54" t="inlineStr">
        <is>
          <t>CANONICAL: Calabrese VC1-4, c/c* number-density, h*K=0.015</t>
        </is>
      </c>
    </row>
    <row r="55" customFormat="1" s="10">
      <c r="A55" s="10" t="b">
        <v>1</v>
      </c>
      <c r="B55" s="10" t="n">
        <v>54</v>
      </c>
      <c r="C55" s="10" t="inlineStr">
        <is>
          <t>VC4</t>
        </is>
      </c>
      <c r="D55" s="10" t="inlineStr">
        <is>
          <t>styext</t>
        </is>
      </c>
      <c r="E55" s="10" t="n">
        <v>21800</v>
      </c>
      <c r="F55" s="10" t="n">
        <v>0.015</v>
      </c>
      <c r="G55" s="10" t="inlineStr">
        <is>
          <t>fenepm</t>
        </is>
      </c>
      <c r="H55" s="10" t="inlineStr">
        <is>
          <t>c2d2</t>
        </is>
      </c>
      <c r="I55" s="10" t="n">
        <v>0.07000000000000001</v>
      </c>
      <c r="J55" s="10" t="inlineStr">
        <is>
          <t>[0.01, 0.03, 0.1, 0.3, 1, 3, 10, 30, 100]</t>
        </is>
      </c>
      <c r="K55" s="10" t="inlineStr">
        <is>
          <t>calabrese</t>
        </is>
      </c>
      <c r="L55" s="10" t="inlineStr">
        <is>
          <t>julia/experiments/tnwpaper/outputs/exptl_comparison</t>
        </is>
      </c>
      <c r="M55" t="inlineStr">
        <is>
          <t>CANONICAL: Calabrese VC1-4, c/c* number-density, h*K=0.015</t>
        </is>
      </c>
    </row>
    <row r="56" customFormat="1" s="10">
      <c r="A56" s="10" t="b">
        <v>1</v>
      </c>
      <c r="B56" s="10" t="n">
        <v>55</v>
      </c>
      <c r="C56" s="10" t="inlineStr">
        <is>
          <t>VC4</t>
        </is>
      </c>
      <c r="D56" s="10" t="inlineStr">
        <is>
          <t>caber</t>
        </is>
      </c>
      <c r="E56" s="10" t="n">
        <v>21800</v>
      </c>
      <c r="F56" s="10" t="n">
        <v>0.015</v>
      </c>
      <c r="G56" s="10" t="inlineStr">
        <is>
          <t>fenepm</t>
        </is>
      </c>
      <c r="H56" s="10" t="inlineStr">
        <is>
          <t>constant</t>
        </is>
      </c>
      <c r="I56" s="10" t="n">
        <v>0.07000000000000001</v>
      </c>
      <c r="J56" s="10" t="inlineStr">
        <is>
          <t>[0.01, 0.03, 0.1, 0.3, 1, 3, 10, 30, 100]</t>
        </is>
      </c>
      <c r="K56" s="10" t="inlineStr">
        <is>
          <t>calabrese</t>
        </is>
      </c>
      <c r="L56" s="10" t="inlineStr">
        <is>
          <t>julia/experiments/tnwpaper/outputs/exptl_comparison</t>
        </is>
      </c>
      <c r="M56" t="inlineStr">
        <is>
          <t>CANONICAL: Calabrese VC1-4, c/c* number-density, h*K=0.015</t>
        </is>
      </c>
    </row>
    <row r="57" customFormat="1" s="10">
      <c r="A57" s="10" t="b">
        <v>1</v>
      </c>
      <c r="B57" s="10" t="n">
        <v>56</v>
      </c>
      <c r="C57" s="10" t="inlineStr">
        <is>
          <t>VC4</t>
        </is>
      </c>
      <c r="D57" s="10" t="inlineStr">
        <is>
          <t>caber</t>
        </is>
      </c>
      <c r="E57" s="10" t="n">
        <v>21800</v>
      </c>
      <c r="F57" s="10" t="n">
        <v>0.015</v>
      </c>
      <c r="G57" s="10" t="inlineStr">
        <is>
          <t>fenepm</t>
        </is>
      </c>
      <c r="H57" s="10" t="inlineStr">
        <is>
          <t>c2d2</t>
        </is>
      </c>
      <c r="I57" s="10" t="n">
        <v>0.07000000000000001</v>
      </c>
      <c r="J57" s="10" t="inlineStr">
        <is>
          <t>[0.01, 0.03, 0.1, 0.3, 1, 3, 10, 30, 100]</t>
        </is>
      </c>
      <c r="K57" s="10" t="inlineStr">
        <is>
          <t>calabrese</t>
        </is>
      </c>
      <c r="L57" s="10" t="inlineStr">
        <is>
          <t>julia/experiments/tnwpaper/outputs/exptl_comparison</t>
        </is>
      </c>
      <c r="M57" t="inlineStr">
        <is>
          <t>CANONICAL: Calabrese VC1-4, c/c* number-density, h*K=0.015</t>
        </is>
      </c>
    </row>
    <row r="58">
      <c r="A58" t="b">
        <v>0</v>
      </c>
      <c r="B58" t="n">
        <v>57</v>
      </c>
      <c r="C58" t="inlineStr">
        <is>
          <t>GA_5</t>
        </is>
      </c>
      <c r="D58" t="inlineStr">
        <is>
          <t>styext</t>
        </is>
      </c>
      <c r="E58" t="n">
        <v>30000</v>
      </c>
      <c r="F58" t="n">
        <v>0.005</v>
      </c>
      <c r="G58" t="inlineStr">
        <is>
          <t>fenepm</t>
        </is>
      </c>
      <c r="H58" t="inlineStr">
        <is>
          <t>constant</t>
        </is>
      </c>
      <c r="I58" t="n">
        <v>0.019</v>
      </c>
      <c r="J58" t="n">
        <v>1</v>
      </c>
      <c r="K58" t="inlineStr">
        <is>
          <t>gaillard_aq</t>
        </is>
      </c>
      <c r="L58" t="inlineStr">
        <is>
          <t>julia/experiments/tnwpaper/outputs/exptl_comparison</t>
        </is>
      </c>
      <c r="M58" t="inlineStr">
        <is>
          <t>OUT OF SCOPE: inertiocapillary aqueous series dropped from paper</t>
        </is>
      </c>
    </row>
    <row r="59">
      <c r="A59" t="b">
        <v>0</v>
      </c>
      <c r="B59" t="n">
        <v>58</v>
      </c>
      <c r="C59" t="inlineStr">
        <is>
          <t>GA_5</t>
        </is>
      </c>
      <c r="D59" t="inlineStr">
        <is>
          <t>styext</t>
        </is>
      </c>
      <c r="E59" t="n">
        <v>30000</v>
      </c>
      <c r="F59" t="n">
        <v>0.005</v>
      </c>
      <c r="G59" t="inlineStr">
        <is>
          <t>fenepm</t>
        </is>
      </c>
      <c r="H59" t="inlineStr">
        <is>
          <t>c2d2</t>
        </is>
      </c>
      <c r="I59" t="n">
        <v>0.019</v>
      </c>
      <c r="J59" t="n">
        <v>1</v>
      </c>
      <c r="K59" t="inlineStr">
        <is>
          <t>gaillard_aq</t>
        </is>
      </c>
      <c r="L59" t="inlineStr">
        <is>
          <t>julia/experiments/tnwpaper/outputs/exptl_comparison</t>
        </is>
      </c>
      <c r="M59" t="inlineStr">
        <is>
          <t>OUT OF SCOPE: inertiocapillary aqueous series dropped from paper</t>
        </is>
      </c>
    </row>
    <row r="60">
      <c r="A60" t="b">
        <v>0</v>
      </c>
      <c r="B60" t="n">
        <v>59</v>
      </c>
      <c r="C60" t="inlineStr">
        <is>
          <t>GA_5</t>
        </is>
      </c>
      <c r="D60" t="inlineStr">
        <is>
          <t>caber</t>
        </is>
      </c>
      <c r="E60" t="n">
        <v>30000</v>
      </c>
      <c r="F60" t="n">
        <v>0.005</v>
      </c>
      <c r="G60" t="inlineStr">
        <is>
          <t>fenepm</t>
        </is>
      </c>
      <c r="H60" t="inlineStr">
        <is>
          <t>constant</t>
        </is>
      </c>
      <c r="I60" t="n">
        <v>0.019</v>
      </c>
      <c r="J60" t="inlineStr">
        <is>
          <t>[0.01, 0.03, 0.1, 0.3, 1, 3, 10, 30, 100]</t>
        </is>
      </c>
      <c r="K60" t="inlineStr">
        <is>
          <t>gaillard_aq</t>
        </is>
      </c>
      <c r="L60" t="inlineStr">
        <is>
          <t>julia/experiments/tnwpaper/outputs/exptl_comparison</t>
        </is>
      </c>
      <c r="M60" t="inlineStr">
        <is>
          <t>OUT OF SCOPE: inertiocapillary aqueous series dropped from paper</t>
        </is>
      </c>
    </row>
    <row r="61">
      <c r="A61" t="b">
        <v>0</v>
      </c>
      <c r="B61" t="n">
        <v>60</v>
      </c>
      <c r="C61" t="inlineStr">
        <is>
          <t>GA_5</t>
        </is>
      </c>
      <c r="D61" t="inlineStr">
        <is>
          <t>caber</t>
        </is>
      </c>
      <c r="E61" t="n">
        <v>30000</v>
      </c>
      <c r="F61" t="n">
        <v>0.005</v>
      </c>
      <c r="G61" t="inlineStr">
        <is>
          <t>fenepm</t>
        </is>
      </c>
      <c r="H61" t="inlineStr">
        <is>
          <t>c2d2</t>
        </is>
      </c>
      <c r="I61" t="n">
        <v>0.019</v>
      </c>
      <c r="J61" t="inlineStr">
        <is>
          <t>[0.01, 0.03, 0.1, 0.3, 1, 3, 10, 30, 100]</t>
        </is>
      </c>
      <c r="K61" t="inlineStr">
        <is>
          <t>gaillard_aq</t>
        </is>
      </c>
      <c r="L61" t="inlineStr">
        <is>
          <t>julia/experiments/tnwpaper/outputs/exptl_comparison</t>
        </is>
      </c>
      <c r="M61" t="inlineStr">
        <is>
          <t>OUT OF SCOPE: inertiocapillary aqueous series dropped from paper</t>
        </is>
      </c>
    </row>
    <row r="62">
      <c r="A62" t="b">
        <v>0</v>
      </c>
      <c r="B62" t="n">
        <v>61</v>
      </c>
      <c r="C62" t="inlineStr">
        <is>
          <t>GA_10</t>
        </is>
      </c>
      <c r="D62" t="inlineStr">
        <is>
          <t>styext</t>
        </is>
      </c>
      <c r="E62" t="n">
        <v>30000</v>
      </c>
      <c r="F62" t="n">
        <v>0.005</v>
      </c>
      <c r="G62" t="inlineStr">
        <is>
          <t>fenepm</t>
        </is>
      </c>
      <c r="H62" t="inlineStr">
        <is>
          <t>constant</t>
        </is>
      </c>
      <c r="I62" t="n">
        <v>0.037</v>
      </c>
      <c r="J62" t="n">
        <v>1</v>
      </c>
      <c r="K62" t="inlineStr">
        <is>
          <t>gaillard_aq</t>
        </is>
      </c>
      <c r="L62" t="inlineStr">
        <is>
          <t>julia/experiments/tnwpaper/outputs/exptl_comparison</t>
        </is>
      </c>
      <c r="M62" t="inlineStr">
        <is>
          <t>OUT OF SCOPE: inertiocapillary aqueous series dropped from paper</t>
        </is>
      </c>
    </row>
    <row r="63">
      <c r="A63" t="b">
        <v>0</v>
      </c>
      <c r="B63" t="n">
        <v>62</v>
      </c>
      <c r="C63" t="inlineStr">
        <is>
          <t>GA_10</t>
        </is>
      </c>
      <c r="D63" t="inlineStr">
        <is>
          <t>styext</t>
        </is>
      </c>
      <c r="E63" t="n">
        <v>30000</v>
      </c>
      <c r="F63" t="n">
        <v>0.005</v>
      </c>
      <c r="G63" t="inlineStr">
        <is>
          <t>fenepm</t>
        </is>
      </c>
      <c r="H63" t="inlineStr">
        <is>
          <t>c2d2</t>
        </is>
      </c>
      <c r="I63" t="n">
        <v>0.037</v>
      </c>
      <c r="J63" t="n">
        <v>1</v>
      </c>
      <c r="K63" t="inlineStr">
        <is>
          <t>gaillard_aq</t>
        </is>
      </c>
      <c r="L63" t="inlineStr">
        <is>
          <t>julia/experiments/tnwpaper/outputs/exptl_comparison</t>
        </is>
      </c>
      <c r="M63" t="inlineStr">
        <is>
          <t>OUT OF SCOPE: inertiocapillary aqueous series dropped from paper</t>
        </is>
      </c>
    </row>
    <row r="64">
      <c r="A64" t="b">
        <v>0</v>
      </c>
      <c r="B64" t="n">
        <v>63</v>
      </c>
      <c r="C64" t="inlineStr">
        <is>
          <t>GA_10</t>
        </is>
      </c>
      <c r="D64" t="inlineStr">
        <is>
          <t>caber</t>
        </is>
      </c>
      <c r="E64" t="n">
        <v>30000</v>
      </c>
      <c r="F64" t="n">
        <v>0.005</v>
      </c>
      <c r="G64" t="inlineStr">
        <is>
          <t>fenepm</t>
        </is>
      </c>
      <c r="H64" t="inlineStr">
        <is>
          <t>constant</t>
        </is>
      </c>
      <c r="I64" t="n">
        <v>0.037</v>
      </c>
      <c r="J64" t="inlineStr">
        <is>
          <t>[0.01, 0.03, 0.1, 0.3, 1, 3, 10, 30, 100]</t>
        </is>
      </c>
      <c r="K64" t="inlineStr">
        <is>
          <t>gaillard_aq</t>
        </is>
      </c>
      <c r="L64" t="inlineStr">
        <is>
          <t>julia/experiments/tnwpaper/outputs/exptl_comparison</t>
        </is>
      </c>
      <c r="M64" t="inlineStr">
        <is>
          <t>OUT OF SCOPE: inertiocapillary aqueous series dropped from paper</t>
        </is>
      </c>
    </row>
    <row r="65">
      <c r="A65" t="b">
        <v>0</v>
      </c>
      <c r="B65" t="n">
        <v>64</v>
      </c>
      <c r="C65" t="inlineStr">
        <is>
          <t>GA_10</t>
        </is>
      </c>
      <c r="D65" t="inlineStr">
        <is>
          <t>caber</t>
        </is>
      </c>
      <c r="E65" t="n">
        <v>30000</v>
      </c>
      <c r="F65" t="n">
        <v>0.005</v>
      </c>
      <c r="G65" t="inlineStr">
        <is>
          <t>fenepm</t>
        </is>
      </c>
      <c r="H65" t="inlineStr">
        <is>
          <t>c2d2</t>
        </is>
      </c>
      <c r="I65" t="n">
        <v>0.037</v>
      </c>
      <c r="J65" t="inlineStr">
        <is>
          <t>[0.01, 0.03, 0.1, 0.3, 1, 3, 10, 30, 100]</t>
        </is>
      </c>
      <c r="K65" t="inlineStr">
        <is>
          <t>gaillard_aq</t>
        </is>
      </c>
      <c r="L65" t="inlineStr">
        <is>
          <t>julia/experiments/tnwpaper/outputs/exptl_comparison</t>
        </is>
      </c>
      <c r="M65" t="inlineStr">
        <is>
          <t>OUT OF SCOPE: inertiocapillary aqueous series dropped from paper</t>
        </is>
      </c>
    </row>
    <row r="66">
      <c r="A66" t="b">
        <v>0</v>
      </c>
      <c r="B66" t="n">
        <v>65</v>
      </c>
      <c r="C66" t="inlineStr">
        <is>
          <t>GA_25</t>
        </is>
      </c>
      <c r="D66" t="inlineStr">
        <is>
          <t>styext</t>
        </is>
      </c>
      <c r="E66" t="n">
        <v>30000</v>
      </c>
      <c r="F66" t="n">
        <v>0.005</v>
      </c>
      <c r="G66" t="inlineStr">
        <is>
          <t>fenepm</t>
        </is>
      </c>
      <c r="H66" t="inlineStr">
        <is>
          <t>constant</t>
        </is>
      </c>
      <c r="I66" t="n">
        <v>0.093</v>
      </c>
      <c r="J66" t="n">
        <v>1</v>
      </c>
      <c r="K66" t="inlineStr">
        <is>
          <t>gaillard_aq</t>
        </is>
      </c>
      <c r="L66" t="inlineStr">
        <is>
          <t>julia/experiments/tnwpaper/outputs/exptl_comparison</t>
        </is>
      </c>
      <c r="M66" t="inlineStr">
        <is>
          <t>OUT OF SCOPE: inertiocapillary aqueous series dropped from paper</t>
        </is>
      </c>
    </row>
    <row r="67">
      <c r="A67" t="b">
        <v>0</v>
      </c>
      <c r="B67" t="n">
        <v>66</v>
      </c>
      <c r="C67" t="inlineStr">
        <is>
          <t>GA_25</t>
        </is>
      </c>
      <c r="D67" t="inlineStr">
        <is>
          <t>styext</t>
        </is>
      </c>
      <c r="E67" t="n">
        <v>30000</v>
      </c>
      <c r="F67" t="n">
        <v>0.005</v>
      </c>
      <c r="G67" t="inlineStr">
        <is>
          <t>fenepm</t>
        </is>
      </c>
      <c r="H67" t="inlineStr">
        <is>
          <t>c2d2</t>
        </is>
      </c>
      <c r="I67" t="n">
        <v>0.093</v>
      </c>
      <c r="J67" t="n">
        <v>1</v>
      </c>
      <c r="K67" t="inlineStr">
        <is>
          <t>gaillard_aq</t>
        </is>
      </c>
      <c r="L67" t="inlineStr">
        <is>
          <t>julia/experiments/tnwpaper/outputs/exptl_comparison</t>
        </is>
      </c>
      <c r="M67" t="inlineStr">
        <is>
          <t>OUT OF SCOPE: inertiocapillary aqueous series dropped from paper</t>
        </is>
      </c>
    </row>
    <row r="68">
      <c r="A68" t="b">
        <v>0</v>
      </c>
      <c r="B68" t="n">
        <v>67</v>
      </c>
      <c r="C68" t="inlineStr">
        <is>
          <t>GA_25</t>
        </is>
      </c>
      <c r="D68" t="inlineStr">
        <is>
          <t>caber</t>
        </is>
      </c>
      <c r="E68" t="n">
        <v>30000</v>
      </c>
      <c r="F68" t="n">
        <v>0.005</v>
      </c>
      <c r="G68" t="inlineStr">
        <is>
          <t>fenepm</t>
        </is>
      </c>
      <c r="H68" t="inlineStr">
        <is>
          <t>constant</t>
        </is>
      </c>
      <c r="I68" t="n">
        <v>0.093</v>
      </c>
      <c r="J68" t="inlineStr">
        <is>
          <t>[0.01, 0.03, 0.1, 0.3, 1, 3, 10, 30, 100]</t>
        </is>
      </c>
      <c r="K68" t="inlineStr">
        <is>
          <t>gaillard_aq</t>
        </is>
      </c>
      <c r="L68" t="inlineStr">
        <is>
          <t>julia/experiments/tnwpaper/outputs/exptl_comparison</t>
        </is>
      </c>
      <c r="M68" t="inlineStr">
        <is>
          <t>OUT OF SCOPE: inertiocapillary aqueous series dropped from paper</t>
        </is>
      </c>
    </row>
    <row r="69">
      <c r="A69" t="b">
        <v>0</v>
      </c>
      <c r="B69" t="n">
        <v>68</v>
      </c>
      <c r="C69" t="inlineStr">
        <is>
          <t>GA_25</t>
        </is>
      </c>
      <c r="D69" t="inlineStr">
        <is>
          <t>caber</t>
        </is>
      </c>
      <c r="E69" t="n">
        <v>30000</v>
      </c>
      <c r="F69" t="n">
        <v>0.005</v>
      </c>
      <c r="G69" t="inlineStr">
        <is>
          <t>fenepm</t>
        </is>
      </c>
      <c r="H69" t="inlineStr">
        <is>
          <t>c2d2</t>
        </is>
      </c>
      <c r="I69" t="n">
        <v>0.093</v>
      </c>
      <c r="J69" t="inlineStr">
        <is>
          <t>[0.01, 0.03, 0.1, 0.3, 1, 3, 10, 30, 100]</t>
        </is>
      </c>
      <c r="K69" t="inlineStr">
        <is>
          <t>gaillard_aq</t>
        </is>
      </c>
      <c r="L69" t="inlineStr">
        <is>
          <t>julia/experiments/tnwpaper/outputs/exptl_comparison</t>
        </is>
      </c>
      <c r="M69" t="inlineStr">
        <is>
          <t>OUT OF SCOPE: inertiocapillary aqueous series dropped from paper</t>
        </is>
      </c>
    </row>
    <row r="70">
      <c r="A70" t="b">
        <v>0</v>
      </c>
      <c r="B70" t="n">
        <v>69</v>
      </c>
      <c r="C70" t="inlineStr">
        <is>
          <t>GA_50</t>
        </is>
      </c>
      <c r="D70" t="inlineStr">
        <is>
          <t>styext</t>
        </is>
      </c>
      <c r="E70" t="n">
        <v>30000</v>
      </c>
      <c r="F70" t="n">
        <v>0.005</v>
      </c>
      <c r="G70" t="inlineStr">
        <is>
          <t>fenepm</t>
        </is>
      </c>
      <c r="H70" t="inlineStr">
        <is>
          <t>constant</t>
        </is>
      </c>
      <c r="I70" t="n">
        <v>0.19</v>
      </c>
      <c r="J70" t="n">
        <v>1</v>
      </c>
      <c r="K70" t="inlineStr">
        <is>
          <t>gaillard_aq</t>
        </is>
      </c>
      <c r="L70" t="inlineStr">
        <is>
          <t>julia/experiments/tnwpaper/outputs/exptl_comparison</t>
        </is>
      </c>
      <c r="M70" t="inlineStr">
        <is>
          <t>OUT OF SCOPE: inertiocapillary aqueous series dropped from paper</t>
        </is>
      </c>
    </row>
    <row r="71">
      <c r="A71" t="b">
        <v>0</v>
      </c>
      <c r="B71" t="n">
        <v>70</v>
      </c>
      <c r="C71" t="inlineStr">
        <is>
          <t>GA_50</t>
        </is>
      </c>
      <c r="D71" t="inlineStr">
        <is>
          <t>styext</t>
        </is>
      </c>
      <c r="E71" t="n">
        <v>30000</v>
      </c>
      <c r="F71" t="n">
        <v>0.005</v>
      </c>
      <c r="G71" t="inlineStr">
        <is>
          <t>fenepm</t>
        </is>
      </c>
      <c r="H71" t="inlineStr">
        <is>
          <t>c2d2</t>
        </is>
      </c>
      <c r="I71" t="n">
        <v>0.19</v>
      </c>
      <c r="J71" t="n">
        <v>1</v>
      </c>
      <c r="K71" t="inlineStr">
        <is>
          <t>gaillard_aq</t>
        </is>
      </c>
      <c r="L71" t="inlineStr">
        <is>
          <t>julia/experiments/tnwpaper/outputs/exptl_comparison</t>
        </is>
      </c>
      <c r="M71" t="inlineStr">
        <is>
          <t>OUT OF SCOPE: inertiocapillary aqueous series dropped from paper</t>
        </is>
      </c>
    </row>
    <row r="72">
      <c r="A72" t="b">
        <v>0</v>
      </c>
      <c r="B72" t="n">
        <v>71</v>
      </c>
      <c r="C72" t="inlineStr">
        <is>
          <t>GA_50</t>
        </is>
      </c>
      <c r="D72" t="inlineStr">
        <is>
          <t>caber</t>
        </is>
      </c>
      <c r="E72" t="n">
        <v>30000</v>
      </c>
      <c r="F72" t="n">
        <v>0.005</v>
      </c>
      <c r="G72" t="inlineStr">
        <is>
          <t>fenepm</t>
        </is>
      </c>
      <c r="H72" t="inlineStr">
        <is>
          <t>constant</t>
        </is>
      </c>
      <c r="I72" t="n">
        <v>0.19</v>
      </c>
      <c r="J72" t="inlineStr">
        <is>
          <t>[0.01, 0.03, 0.1, 0.3, 1, 3, 10, 30, 100]</t>
        </is>
      </c>
      <c r="K72" t="inlineStr">
        <is>
          <t>gaillard_aq</t>
        </is>
      </c>
      <c r="L72" t="inlineStr">
        <is>
          <t>julia/experiments/tnwpaper/outputs/exptl_comparison</t>
        </is>
      </c>
      <c r="M72" t="inlineStr">
        <is>
          <t>OUT OF SCOPE: inertiocapillary aqueous series dropped from paper</t>
        </is>
      </c>
    </row>
    <row r="73">
      <c r="A73" t="b">
        <v>0</v>
      </c>
      <c r="B73" t="n">
        <v>72</v>
      </c>
      <c r="C73" t="inlineStr">
        <is>
          <t>GA_50</t>
        </is>
      </c>
      <c r="D73" t="inlineStr">
        <is>
          <t>caber</t>
        </is>
      </c>
      <c r="E73" t="n">
        <v>30000</v>
      </c>
      <c r="F73" t="n">
        <v>0.005</v>
      </c>
      <c r="G73" t="inlineStr">
        <is>
          <t>fenepm</t>
        </is>
      </c>
      <c r="H73" t="inlineStr">
        <is>
          <t>c2d2</t>
        </is>
      </c>
      <c r="I73" t="n">
        <v>0.19</v>
      </c>
      <c r="J73" t="inlineStr">
        <is>
          <t>[0.01, 0.03, 0.1, 0.3, 1, 3, 10, 30, 100]</t>
        </is>
      </c>
      <c r="K73" t="inlineStr">
        <is>
          <t>gaillard_aq</t>
        </is>
      </c>
      <c r="L73" t="inlineStr">
        <is>
          <t>julia/experiments/tnwpaper/outputs/exptl_comparison</t>
        </is>
      </c>
      <c r="M73" t="inlineStr">
        <is>
          <t>OUT OF SCOPE: inertiocapillary aqueous series dropped from paper</t>
        </is>
      </c>
    </row>
    <row r="74">
      <c r="A74" t="b">
        <v>0</v>
      </c>
      <c r="B74" t="n">
        <v>73</v>
      </c>
      <c r="C74" t="inlineStr">
        <is>
          <t>GA_100</t>
        </is>
      </c>
      <c r="D74" t="inlineStr">
        <is>
          <t>styext</t>
        </is>
      </c>
      <c r="E74" t="n">
        <v>30000</v>
      </c>
      <c r="F74" t="n">
        <v>0.005</v>
      </c>
      <c r="G74" t="inlineStr">
        <is>
          <t>fenepm</t>
        </is>
      </c>
      <c r="H74" t="inlineStr">
        <is>
          <t>constant</t>
        </is>
      </c>
      <c r="I74" t="n">
        <v>0.37</v>
      </c>
      <c r="J74" t="n">
        <v>1</v>
      </c>
      <c r="K74" t="inlineStr">
        <is>
          <t>gaillard_aq</t>
        </is>
      </c>
      <c r="L74" t="inlineStr">
        <is>
          <t>julia/experiments/tnwpaper/outputs/exptl_comparison</t>
        </is>
      </c>
      <c r="M74" t="inlineStr">
        <is>
          <t>OUT OF SCOPE: inertiocapillary aqueous series dropped from paper</t>
        </is>
      </c>
    </row>
    <row r="75">
      <c r="A75" t="b">
        <v>0</v>
      </c>
      <c r="B75" t="n">
        <v>74</v>
      </c>
      <c r="C75" t="inlineStr">
        <is>
          <t>GA_100</t>
        </is>
      </c>
      <c r="D75" t="inlineStr">
        <is>
          <t>styext</t>
        </is>
      </c>
      <c r="E75" t="n">
        <v>30000</v>
      </c>
      <c r="F75" t="n">
        <v>0.005</v>
      </c>
      <c r="G75" t="inlineStr">
        <is>
          <t>fenepm</t>
        </is>
      </c>
      <c r="H75" t="inlineStr">
        <is>
          <t>c2d2</t>
        </is>
      </c>
      <c r="I75" t="n">
        <v>0.37</v>
      </c>
      <c r="J75" t="n">
        <v>1</v>
      </c>
      <c r="K75" t="inlineStr">
        <is>
          <t>gaillard_aq</t>
        </is>
      </c>
      <c r="L75" t="inlineStr">
        <is>
          <t>julia/experiments/tnwpaper/outputs/exptl_comparison</t>
        </is>
      </c>
      <c r="M75" t="inlineStr">
        <is>
          <t>OUT OF SCOPE: inertiocapillary aqueous series dropped from paper</t>
        </is>
      </c>
    </row>
    <row r="76">
      <c r="A76" t="b">
        <v>0</v>
      </c>
      <c r="B76" t="n">
        <v>75</v>
      </c>
      <c r="C76" t="inlineStr">
        <is>
          <t>GA_100</t>
        </is>
      </c>
      <c r="D76" t="inlineStr">
        <is>
          <t>caber</t>
        </is>
      </c>
      <c r="E76" t="n">
        <v>30000</v>
      </c>
      <c r="F76" t="n">
        <v>0.005</v>
      </c>
      <c r="G76" t="inlineStr">
        <is>
          <t>fenepm</t>
        </is>
      </c>
      <c r="H76" t="inlineStr">
        <is>
          <t>constant</t>
        </is>
      </c>
      <c r="I76" t="n">
        <v>0.37</v>
      </c>
      <c r="J76" t="inlineStr">
        <is>
          <t>[0.01, 0.03, 0.1, 0.3, 1, 3, 10, 30, 100]</t>
        </is>
      </c>
      <c r="K76" t="inlineStr">
        <is>
          <t>gaillard_aq</t>
        </is>
      </c>
      <c r="L76" t="inlineStr">
        <is>
          <t>julia/experiments/tnwpaper/outputs/exptl_comparison</t>
        </is>
      </c>
      <c r="M76" t="inlineStr">
        <is>
          <t>OUT OF SCOPE: inertiocapillary aqueous series dropped from paper</t>
        </is>
      </c>
    </row>
    <row r="77">
      <c r="A77" t="b">
        <v>0</v>
      </c>
      <c r="B77" t="n">
        <v>76</v>
      </c>
      <c r="C77" t="inlineStr">
        <is>
          <t>GA_100</t>
        </is>
      </c>
      <c r="D77" t="inlineStr">
        <is>
          <t>caber</t>
        </is>
      </c>
      <c r="E77" t="n">
        <v>30000</v>
      </c>
      <c r="F77" t="n">
        <v>0.005</v>
      </c>
      <c r="G77" t="inlineStr">
        <is>
          <t>fenepm</t>
        </is>
      </c>
      <c r="H77" t="inlineStr">
        <is>
          <t>c2d2</t>
        </is>
      </c>
      <c r="I77" t="n">
        <v>0.37</v>
      </c>
      <c r="J77" t="inlineStr">
        <is>
          <t>[0.01, 0.03, 0.1, 0.3, 1, 3, 10, 30, 100]</t>
        </is>
      </c>
      <c r="K77" t="inlineStr">
        <is>
          <t>gaillard_aq</t>
        </is>
      </c>
      <c r="L77" t="inlineStr">
        <is>
          <t>julia/experiments/tnwpaper/outputs/exptl_comparison</t>
        </is>
      </c>
      <c r="M77" t="inlineStr">
        <is>
          <t>OUT OF SCOPE: inertiocapillary aqueous series dropped from paper</t>
        </is>
      </c>
    </row>
    <row r="78">
      <c r="A78" t="b">
        <v>0</v>
      </c>
      <c r="B78" t="n">
        <v>77</v>
      </c>
      <c r="C78" t="inlineStr">
        <is>
          <t>GA_250</t>
        </is>
      </c>
      <c r="D78" t="inlineStr">
        <is>
          <t>styext</t>
        </is>
      </c>
      <c r="E78" t="n">
        <v>30000</v>
      </c>
      <c r="F78" t="n">
        <v>0.005</v>
      </c>
      <c r="G78" t="inlineStr">
        <is>
          <t>fenepm</t>
        </is>
      </c>
      <c r="H78" t="inlineStr">
        <is>
          <t>constant</t>
        </is>
      </c>
      <c r="I78" t="n">
        <v>0.93</v>
      </c>
      <c r="J78" t="n">
        <v>1</v>
      </c>
      <c r="K78" t="inlineStr">
        <is>
          <t>gaillard_aq</t>
        </is>
      </c>
      <c r="L78" t="inlineStr">
        <is>
          <t>julia/experiments/tnwpaper/outputs/exptl_comparison</t>
        </is>
      </c>
      <c r="M78" t="inlineStr">
        <is>
          <t>OUT OF SCOPE: inertiocapillary aqueous series dropped from paper</t>
        </is>
      </c>
    </row>
    <row r="79">
      <c r="A79" t="b">
        <v>0</v>
      </c>
      <c r="B79" t="n">
        <v>78</v>
      </c>
      <c r="C79" t="inlineStr">
        <is>
          <t>GA_250</t>
        </is>
      </c>
      <c r="D79" t="inlineStr">
        <is>
          <t>styext</t>
        </is>
      </c>
      <c r="E79" t="n">
        <v>30000</v>
      </c>
      <c r="F79" t="n">
        <v>0.005</v>
      </c>
      <c r="G79" t="inlineStr">
        <is>
          <t>fenepm</t>
        </is>
      </c>
      <c r="H79" t="inlineStr">
        <is>
          <t>c2d2</t>
        </is>
      </c>
      <c r="I79" t="n">
        <v>0.93</v>
      </c>
      <c r="J79" t="n">
        <v>1</v>
      </c>
      <c r="K79" t="inlineStr">
        <is>
          <t>gaillard_aq</t>
        </is>
      </c>
      <c r="L79" t="inlineStr">
        <is>
          <t>julia/experiments/tnwpaper/outputs/exptl_comparison</t>
        </is>
      </c>
      <c r="M79" t="inlineStr">
        <is>
          <t>OUT OF SCOPE: inertiocapillary aqueous series dropped from paper</t>
        </is>
      </c>
    </row>
    <row r="80">
      <c r="A80" t="b">
        <v>0</v>
      </c>
      <c r="B80" t="n">
        <v>79</v>
      </c>
      <c r="C80" t="inlineStr">
        <is>
          <t>GA_250</t>
        </is>
      </c>
      <c r="D80" t="inlineStr">
        <is>
          <t>caber</t>
        </is>
      </c>
      <c r="E80" t="n">
        <v>30000</v>
      </c>
      <c r="F80" t="n">
        <v>0.005</v>
      </c>
      <c r="G80" t="inlineStr">
        <is>
          <t>fenepm</t>
        </is>
      </c>
      <c r="H80" t="inlineStr">
        <is>
          <t>constant</t>
        </is>
      </c>
      <c r="I80" t="n">
        <v>0.93</v>
      </c>
      <c r="J80" t="inlineStr">
        <is>
          <t>[0.01, 0.03, 0.1, 0.3, 1, 3, 10, 30, 100]</t>
        </is>
      </c>
      <c r="K80" t="inlineStr">
        <is>
          <t>gaillard_aq</t>
        </is>
      </c>
      <c r="L80" t="inlineStr">
        <is>
          <t>julia/experiments/tnwpaper/outputs/exptl_comparison</t>
        </is>
      </c>
      <c r="M80" t="inlineStr">
        <is>
          <t>OUT OF SCOPE: inertiocapillary aqueous series dropped from paper</t>
        </is>
      </c>
    </row>
    <row r="81">
      <c r="A81" t="b">
        <v>0</v>
      </c>
      <c r="B81" t="n">
        <v>80</v>
      </c>
      <c r="C81" t="inlineStr">
        <is>
          <t>GA_250</t>
        </is>
      </c>
      <c r="D81" t="inlineStr">
        <is>
          <t>caber</t>
        </is>
      </c>
      <c r="E81" t="n">
        <v>30000</v>
      </c>
      <c r="F81" t="n">
        <v>0.005</v>
      </c>
      <c r="G81" t="inlineStr">
        <is>
          <t>fenepm</t>
        </is>
      </c>
      <c r="H81" t="inlineStr">
        <is>
          <t>c2d2</t>
        </is>
      </c>
      <c r="I81" t="n">
        <v>0.93</v>
      </c>
      <c r="J81" t="inlineStr">
        <is>
          <t>[0.01, 0.03, 0.1, 0.3, 1, 3, 10, 30, 100]</t>
        </is>
      </c>
      <c r="K81" t="inlineStr">
        <is>
          <t>gaillard_aq</t>
        </is>
      </c>
      <c r="L81" t="inlineStr">
        <is>
          <t>julia/experiments/tnwpaper/outputs/exptl_comparison</t>
        </is>
      </c>
      <c r="M81" t="inlineStr">
        <is>
          <t>OUT OF SCOPE: inertiocapillary aqueous series dropped from paper</t>
        </is>
      </c>
    </row>
    <row r="82">
      <c r="A82" t="b">
        <v>0</v>
      </c>
      <c r="B82" t="n">
        <v>81</v>
      </c>
      <c r="C82" t="inlineStr">
        <is>
          <t>GA_500</t>
        </is>
      </c>
      <c r="D82" t="inlineStr">
        <is>
          <t>styext</t>
        </is>
      </c>
      <c r="E82" t="n">
        <v>30000</v>
      </c>
      <c r="F82" t="n">
        <v>0.005</v>
      </c>
      <c r="G82" t="inlineStr">
        <is>
          <t>fenepm</t>
        </is>
      </c>
      <c r="H82" t="inlineStr">
        <is>
          <t>constant</t>
        </is>
      </c>
      <c r="I82" t="n">
        <v>1.9</v>
      </c>
      <c r="J82" t="n">
        <v>1</v>
      </c>
      <c r="K82" t="inlineStr">
        <is>
          <t>gaillard_aq</t>
        </is>
      </c>
      <c r="L82" t="inlineStr">
        <is>
          <t>julia/experiments/tnwpaper/outputs/exptl_comparison</t>
        </is>
      </c>
      <c r="M82" t="inlineStr">
        <is>
          <t>OUT OF SCOPE: inertiocapillary aqueous series dropped from paper</t>
        </is>
      </c>
    </row>
    <row r="83">
      <c r="A83" t="b">
        <v>0</v>
      </c>
      <c r="B83" t="n">
        <v>82</v>
      </c>
      <c r="C83" t="inlineStr">
        <is>
          <t>GA_500</t>
        </is>
      </c>
      <c r="D83" t="inlineStr">
        <is>
          <t>styext</t>
        </is>
      </c>
      <c r="E83" t="n">
        <v>30000</v>
      </c>
      <c r="F83" t="n">
        <v>0.005</v>
      </c>
      <c r="G83" t="inlineStr">
        <is>
          <t>fenepm</t>
        </is>
      </c>
      <c r="H83" t="inlineStr">
        <is>
          <t>c2d2</t>
        </is>
      </c>
      <c r="I83" t="n">
        <v>1.9</v>
      </c>
      <c r="J83" t="n">
        <v>1</v>
      </c>
      <c r="K83" t="inlineStr">
        <is>
          <t>gaillard_aq</t>
        </is>
      </c>
      <c r="L83" t="inlineStr">
        <is>
          <t>julia/experiments/tnwpaper/outputs/exptl_comparison</t>
        </is>
      </c>
      <c r="M83" t="inlineStr">
        <is>
          <t>OUT OF SCOPE: inertiocapillary aqueous series dropped from paper</t>
        </is>
      </c>
    </row>
    <row r="84">
      <c r="A84" t="b">
        <v>0</v>
      </c>
      <c r="B84" t="n">
        <v>83</v>
      </c>
      <c r="C84" t="inlineStr">
        <is>
          <t>GA_500</t>
        </is>
      </c>
      <c r="D84" t="inlineStr">
        <is>
          <t>caber</t>
        </is>
      </c>
      <c r="E84" t="n">
        <v>30000</v>
      </c>
      <c r="F84" t="n">
        <v>0.005</v>
      </c>
      <c r="G84" t="inlineStr">
        <is>
          <t>fenepm</t>
        </is>
      </c>
      <c r="H84" t="inlineStr">
        <is>
          <t>constant</t>
        </is>
      </c>
      <c r="I84" t="n">
        <v>1.9</v>
      </c>
      <c r="J84" t="inlineStr">
        <is>
          <t>[0.01, 0.03, 0.1, 0.3, 1, 3, 10, 30, 100]</t>
        </is>
      </c>
      <c r="K84" t="inlineStr">
        <is>
          <t>gaillard_aq</t>
        </is>
      </c>
      <c r="L84" t="inlineStr">
        <is>
          <t>julia/experiments/tnwpaper/outputs/exptl_comparison</t>
        </is>
      </c>
      <c r="M84" t="inlineStr">
        <is>
          <t>OUT OF SCOPE: inertiocapillary aqueous series dropped from paper</t>
        </is>
      </c>
    </row>
    <row r="85">
      <c r="A85" t="b">
        <v>0</v>
      </c>
      <c r="B85" t="n">
        <v>84</v>
      </c>
      <c r="C85" t="inlineStr">
        <is>
          <t>GA_500</t>
        </is>
      </c>
      <c r="D85" t="inlineStr">
        <is>
          <t>caber</t>
        </is>
      </c>
      <c r="E85" t="n">
        <v>30000</v>
      </c>
      <c r="F85" t="n">
        <v>0.005</v>
      </c>
      <c r="G85" t="inlineStr">
        <is>
          <t>fenepm</t>
        </is>
      </c>
      <c r="H85" t="inlineStr">
        <is>
          <t>c2d2</t>
        </is>
      </c>
      <c r="I85" t="n">
        <v>1.9</v>
      </c>
      <c r="J85" t="inlineStr">
        <is>
          <t>[0.01, 0.03, 0.1, 0.3, 1, 3, 10, 30, 100]</t>
        </is>
      </c>
      <c r="K85" t="inlineStr">
        <is>
          <t>gaillard_aq</t>
        </is>
      </c>
      <c r="L85" t="inlineStr">
        <is>
          <t>julia/experiments/tnwpaper/outputs/exptl_comparison</t>
        </is>
      </c>
      <c r="M85" t="inlineStr">
        <is>
          <t>OUT OF SCOPE: inertiocapillary aqueous series dropped from paper</t>
        </is>
      </c>
    </row>
    <row r="86">
      <c r="A86" t="b">
        <v>0</v>
      </c>
      <c r="B86" t="n">
        <v>85</v>
      </c>
      <c r="C86" t="inlineStr">
        <is>
          <t>GA_1000</t>
        </is>
      </c>
      <c r="D86" t="inlineStr">
        <is>
          <t>styext</t>
        </is>
      </c>
      <c r="E86" t="n">
        <v>30000</v>
      </c>
      <c r="F86" t="n">
        <v>0.005</v>
      </c>
      <c r="G86" t="inlineStr">
        <is>
          <t>fenepm</t>
        </is>
      </c>
      <c r="H86" t="inlineStr">
        <is>
          <t>constant</t>
        </is>
      </c>
      <c r="I86" t="n">
        <v>3.7</v>
      </c>
      <c r="J86" t="n">
        <v>1</v>
      </c>
      <c r="K86" t="inlineStr">
        <is>
          <t>gaillard_aq</t>
        </is>
      </c>
      <c r="L86" t="inlineStr">
        <is>
          <t>julia/experiments/tnwpaper/outputs/exptl_comparison</t>
        </is>
      </c>
      <c r="M86" t="inlineStr">
        <is>
          <t>OUT OF SCOPE: inertiocapillary aqueous series dropped from paper</t>
        </is>
      </c>
    </row>
    <row r="87">
      <c r="A87" t="b">
        <v>0</v>
      </c>
      <c r="B87" t="n">
        <v>86</v>
      </c>
      <c r="C87" t="inlineStr">
        <is>
          <t>GA_1000</t>
        </is>
      </c>
      <c r="D87" t="inlineStr">
        <is>
          <t>styext</t>
        </is>
      </c>
      <c r="E87" t="n">
        <v>30000</v>
      </c>
      <c r="F87" t="n">
        <v>0.005</v>
      </c>
      <c r="G87" t="inlineStr">
        <is>
          <t>fenepm</t>
        </is>
      </c>
      <c r="H87" t="inlineStr">
        <is>
          <t>c2d2</t>
        </is>
      </c>
      <c r="I87" t="n">
        <v>3.7</v>
      </c>
      <c r="J87" t="n">
        <v>1</v>
      </c>
      <c r="K87" t="inlineStr">
        <is>
          <t>gaillard_aq</t>
        </is>
      </c>
      <c r="L87" t="inlineStr">
        <is>
          <t>julia/experiments/tnwpaper/outputs/exptl_comparison</t>
        </is>
      </c>
      <c r="M87" t="inlineStr">
        <is>
          <t>OUT OF SCOPE: inertiocapillary aqueous series dropped from paper</t>
        </is>
      </c>
    </row>
    <row r="88">
      <c r="A88" t="b">
        <v>0</v>
      </c>
      <c r="B88" t="n">
        <v>87</v>
      </c>
      <c r="C88" t="inlineStr">
        <is>
          <t>GA_1000</t>
        </is>
      </c>
      <c r="D88" t="inlineStr">
        <is>
          <t>caber</t>
        </is>
      </c>
      <c r="E88" t="n">
        <v>30000</v>
      </c>
      <c r="F88" t="n">
        <v>0.005</v>
      </c>
      <c r="G88" t="inlineStr">
        <is>
          <t>fenepm</t>
        </is>
      </c>
      <c r="H88" t="inlineStr">
        <is>
          <t>constant</t>
        </is>
      </c>
      <c r="I88" t="n">
        <v>3.7</v>
      </c>
      <c r="J88" t="inlineStr">
        <is>
          <t>[0.01, 0.03, 0.1, 0.3, 1, 3, 10, 30, 100]</t>
        </is>
      </c>
      <c r="K88" t="inlineStr">
        <is>
          <t>gaillard_aq</t>
        </is>
      </c>
      <c r="L88" t="inlineStr">
        <is>
          <t>julia/experiments/tnwpaper/outputs/exptl_comparison</t>
        </is>
      </c>
      <c r="M88" t="inlineStr">
        <is>
          <t>OUT OF SCOPE: inertiocapillary aqueous series dropped from paper</t>
        </is>
      </c>
    </row>
    <row r="89">
      <c r="A89" t="b">
        <v>0</v>
      </c>
      <c r="B89" t="n">
        <v>88</v>
      </c>
      <c r="C89" t="inlineStr">
        <is>
          <t>GA_1000</t>
        </is>
      </c>
      <c r="D89" t="inlineStr">
        <is>
          <t>caber</t>
        </is>
      </c>
      <c r="E89" t="n">
        <v>30000</v>
      </c>
      <c r="F89" t="n">
        <v>0.005</v>
      </c>
      <c r="G89" t="inlineStr">
        <is>
          <t>fenepm</t>
        </is>
      </c>
      <c r="H89" t="inlineStr">
        <is>
          <t>c2d2</t>
        </is>
      </c>
      <c r="I89" t="n">
        <v>3.7</v>
      </c>
      <c r="J89" t="inlineStr">
        <is>
          <t>[0.01, 0.03, 0.1, 0.3, 1, 3, 10, 30, 100]</t>
        </is>
      </c>
      <c r="K89" t="inlineStr">
        <is>
          <t>gaillard_aq</t>
        </is>
      </c>
      <c r="L89" t="inlineStr">
        <is>
          <t>julia/experiments/tnwpaper/outputs/exptl_comparison</t>
        </is>
      </c>
      <c r="M89" t="inlineStr">
        <is>
          <t>OUT OF SCOPE: inertiocapillary aqueous series dropped from paper</t>
        </is>
      </c>
    </row>
    <row r="90">
      <c r="A90" t="b">
        <v>0</v>
      </c>
      <c r="B90" t="n">
        <v>89</v>
      </c>
      <c r="C90" t="inlineStr">
        <is>
          <t>GA_2500</t>
        </is>
      </c>
      <c r="D90" t="inlineStr">
        <is>
          <t>styext</t>
        </is>
      </c>
      <c r="E90" t="n">
        <v>30000</v>
      </c>
      <c r="F90" t="n">
        <v>0.005</v>
      </c>
      <c r="G90" t="inlineStr">
        <is>
          <t>fenepm</t>
        </is>
      </c>
      <c r="H90" t="inlineStr">
        <is>
          <t>constant</t>
        </is>
      </c>
      <c r="I90" t="n">
        <v>9.300000000000001</v>
      </c>
      <c r="J90" t="n">
        <v>1</v>
      </c>
      <c r="K90" t="inlineStr">
        <is>
          <t>gaillard_aq</t>
        </is>
      </c>
      <c r="L90" t="inlineStr">
        <is>
          <t>julia/experiments/tnwpaper/outputs/exptl_comparison</t>
        </is>
      </c>
      <c r="M90" t="inlineStr">
        <is>
          <t>OUT OF SCOPE: inertiocapillary aqueous series dropped from paper</t>
        </is>
      </c>
    </row>
    <row r="91">
      <c r="A91" t="b">
        <v>0</v>
      </c>
      <c r="B91" t="n">
        <v>90</v>
      </c>
      <c r="C91" t="inlineStr">
        <is>
          <t>GA_2500</t>
        </is>
      </c>
      <c r="D91" t="inlineStr">
        <is>
          <t>styext</t>
        </is>
      </c>
      <c r="E91" t="n">
        <v>30000</v>
      </c>
      <c r="F91" t="n">
        <v>0.005</v>
      </c>
      <c r="G91" t="inlineStr">
        <is>
          <t>fenepm</t>
        </is>
      </c>
      <c r="H91" t="inlineStr">
        <is>
          <t>c2d2</t>
        </is>
      </c>
      <c r="I91" t="n">
        <v>9.300000000000001</v>
      </c>
      <c r="J91" t="n">
        <v>1</v>
      </c>
      <c r="K91" t="inlineStr">
        <is>
          <t>gaillard_aq</t>
        </is>
      </c>
      <c r="L91" t="inlineStr">
        <is>
          <t>julia/experiments/tnwpaper/outputs/exptl_comparison</t>
        </is>
      </c>
      <c r="M91" t="inlineStr">
        <is>
          <t>OUT OF SCOPE: inertiocapillary aqueous series dropped from paper</t>
        </is>
      </c>
    </row>
    <row r="92">
      <c r="A92" t="b">
        <v>0</v>
      </c>
      <c r="B92" t="n">
        <v>91</v>
      </c>
      <c r="C92" t="inlineStr">
        <is>
          <t>GA_2500</t>
        </is>
      </c>
      <c r="D92" t="inlineStr">
        <is>
          <t>caber</t>
        </is>
      </c>
      <c r="E92" t="n">
        <v>30000</v>
      </c>
      <c r="F92" t="n">
        <v>0.005</v>
      </c>
      <c r="G92" t="inlineStr">
        <is>
          <t>fenepm</t>
        </is>
      </c>
      <c r="H92" t="inlineStr">
        <is>
          <t>constant</t>
        </is>
      </c>
      <c r="I92" t="n">
        <v>9.300000000000001</v>
      </c>
      <c r="J92" t="inlineStr">
        <is>
          <t>[0.01, 0.03, 0.1, 0.3, 1, 3, 10, 30, 100]</t>
        </is>
      </c>
      <c r="K92" t="inlineStr">
        <is>
          <t>gaillard_aq</t>
        </is>
      </c>
      <c r="L92" t="inlineStr">
        <is>
          <t>julia/experiments/tnwpaper/outputs/exptl_comparison</t>
        </is>
      </c>
      <c r="M92" t="inlineStr">
        <is>
          <t>OUT OF SCOPE: inertiocapillary aqueous series dropped from paper</t>
        </is>
      </c>
    </row>
    <row r="93">
      <c r="A93" t="b">
        <v>0</v>
      </c>
      <c r="B93" t="n">
        <v>92</v>
      </c>
      <c r="C93" t="inlineStr">
        <is>
          <t>GA_2500</t>
        </is>
      </c>
      <c r="D93" t="inlineStr">
        <is>
          <t>caber</t>
        </is>
      </c>
      <c r="E93" t="n">
        <v>30000</v>
      </c>
      <c r="F93" t="n">
        <v>0.005</v>
      </c>
      <c r="G93" t="inlineStr">
        <is>
          <t>fenepm</t>
        </is>
      </c>
      <c r="H93" t="inlineStr">
        <is>
          <t>c2d2</t>
        </is>
      </c>
      <c r="I93" t="n">
        <v>9.300000000000001</v>
      </c>
      <c r="J93" t="inlineStr">
        <is>
          <t>[0.01, 0.03, 0.1, 0.3, 1, 3, 10, 30, 100]</t>
        </is>
      </c>
      <c r="K93" t="inlineStr">
        <is>
          <t>gaillard_aq</t>
        </is>
      </c>
      <c r="L93" t="inlineStr">
        <is>
          <t>julia/experiments/tnwpaper/outputs/exptl_comparison</t>
        </is>
      </c>
      <c r="M93" t="inlineStr">
        <is>
          <t>OUT OF SCOPE: inertiocapillary aqueous series dropped from paper</t>
        </is>
      </c>
    </row>
    <row r="94">
      <c r="A94" t="b">
        <v>0</v>
      </c>
      <c r="B94" t="n">
        <v>93</v>
      </c>
      <c r="C94" t="inlineStr">
        <is>
          <t>GA_10000</t>
        </is>
      </c>
      <c r="D94" t="inlineStr">
        <is>
          <t>styext</t>
        </is>
      </c>
      <c r="E94" t="n">
        <v>30000</v>
      </c>
      <c r="F94" t="n">
        <v>0.005</v>
      </c>
      <c r="G94" t="inlineStr">
        <is>
          <t>fenepm</t>
        </is>
      </c>
      <c r="H94" t="inlineStr">
        <is>
          <t>constant</t>
        </is>
      </c>
      <c r="I94" t="n">
        <v>37</v>
      </c>
      <c r="J94" t="n">
        <v>1</v>
      </c>
      <c r="K94" t="inlineStr">
        <is>
          <t>gaillard_aq</t>
        </is>
      </c>
      <c r="L94" t="inlineStr">
        <is>
          <t>julia/experiments/tnwpaper/outputs/exptl_comparison</t>
        </is>
      </c>
      <c r="M94" t="inlineStr">
        <is>
          <t>OUT OF SCOPE: inertiocapillary aqueous series dropped from paper</t>
        </is>
      </c>
    </row>
    <row r="95">
      <c r="A95" t="b">
        <v>0</v>
      </c>
      <c r="B95" t="n">
        <v>94</v>
      </c>
      <c r="C95" t="inlineStr">
        <is>
          <t>GA_10000</t>
        </is>
      </c>
      <c r="D95" t="inlineStr">
        <is>
          <t>styext</t>
        </is>
      </c>
      <c r="E95" t="n">
        <v>30000</v>
      </c>
      <c r="F95" t="n">
        <v>0.005</v>
      </c>
      <c r="G95" t="inlineStr">
        <is>
          <t>fenepm</t>
        </is>
      </c>
      <c r="H95" t="inlineStr">
        <is>
          <t>c2d2</t>
        </is>
      </c>
      <c r="I95" t="n">
        <v>37</v>
      </c>
      <c r="J95" t="n">
        <v>1</v>
      </c>
      <c r="K95" t="inlineStr">
        <is>
          <t>gaillard_aq</t>
        </is>
      </c>
      <c r="L95" t="inlineStr">
        <is>
          <t>julia/experiments/tnwpaper/outputs/exptl_comparison</t>
        </is>
      </c>
      <c r="M95" t="inlineStr">
        <is>
          <t>OUT OF SCOPE: inertiocapillary aqueous series dropped from paper</t>
        </is>
      </c>
    </row>
    <row r="96">
      <c r="A96" t="b">
        <v>0</v>
      </c>
      <c r="B96" t="n">
        <v>95</v>
      </c>
      <c r="C96" t="inlineStr">
        <is>
          <t>GA_10000</t>
        </is>
      </c>
      <c r="D96" t="inlineStr">
        <is>
          <t>caber</t>
        </is>
      </c>
      <c r="E96" t="n">
        <v>30000</v>
      </c>
      <c r="F96" t="n">
        <v>0.005</v>
      </c>
      <c r="G96" t="inlineStr">
        <is>
          <t>fenepm</t>
        </is>
      </c>
      <c r="H96" t="inlineStr">
        <is>
          <t>constant</t>
        </is>
      </c>
      <c r="I96" t="n">
        <v>37</v>
      </c>
      <c r="J96" t="inlineStr">
        <is>
          <t>[0.01, 0.03, 0.1, 0.3, 1, 3, 10, 30, 100]</t>
        </is>
      </c>
      <c r="K96" t="inlineStr">
        <is>
          <t>gaillard_aq</t>
        </is>
      </c>
      <c r="L96" t="inlineStr">
        <is>
          <t>julia/experiments/tnwpaper/outputs/exptl_comparison</t>
        </is>
      </c>
      <c r="M96" t="inlineStr">
        <is>
          <t>OUT OF SCOPE: inertiocapillary aqueous series dropped from paper</t>
        </is>
      </c>
    </row>
    <row r="97">
      <c r="A97" t="b">
        <v>0</v>
      </c>
      <c r="B97" t="n">
        <v>96</v>
      </c>
      <c r="C97" t="inlineStr">
        <is>
          <t>GA_10000</t>
        </is>
      </c>
      <c r="D97" t="inlineStr">
        <is>
          <t>caber</t>
        </is>
      </c>
      <c r="E97" t="n">
        <v>30000</v>
      </c>
      <c r="F97" t="n">
        <v>0.005</v>
      </c>
      <c r="G97" t="inlineStr">
        <is>
          <t>fenepm</t>
        </is>
      </c>
      <c r="H97" t="inlineStr">
        <is>
          <t>c2d2</t>
        </is>
      </c>
      <c r="I97" t="n">
        <v>37</v>
      </c>
      <c r="J97" t="inlineStr">
        <is>
          <t>[0.01, 0.03, 0.1, 0.3, 1, 3, 10, 30, 100]</t>
        </is>
      </c>
      <c r="K97" t="inlineStr">
        <is>
          <t>gaillard_aq</t>
        </is>
      </c>
      <c r="L97" t="inlineStr">
        <is>
          <t>julia/experiments/tnwpaper/outputs/exptl_comparison</t>
        </is>
      </c>
      <c r="M97" t="inlineStr">
        <is>
          <t>OUT OF SCOPE: inertiocapillary aqueous series dropped from paper</t>
        </is>
      </c>
    </row>
    <row r="98">
      <c r="A98" t="b">
        <v>0</v>
      </c>
      <c r="B98" t="n">
        <v>97</v>
      </c>
      <c r="C98" t="inlineStr">
        <is>
          <t>C1</t>
        </is>
      </c>
      <c r="D98" t="inlineStr">
        <is>
          <t>styext</t>
        </is>
      </c>
      <c r="E98" t="n">
        <v>11200</v>
      </c>
      <c r="F98" t="n">
        <v>0.01</v>
      </c>
      <c r="G98" t="inlineStr">
        <is>
          <t>fenepm</t>
        </is>
      </c>
      <c r="H98" t="inlineStr">
        <is>
          <t>constant</t>
        </is>
      </c>
      <c r="I98" t="n">
        <v>0.004</v>
      </c>
      <c r="J98" t="n">
        <v>1</v>
      </c>
      <c r="K98" t="inlineStr">
        <is>
          <t>clasen</t>
        </is>
      </c>
      <c r="L98" t="inlineStr">
        <is>
          <t>julia/experiments/tnwpaper/outputs/exptl_comparison</t>
        </is>
      </c>
      <c r="M98" t="inlineStr">
        <is>
          <t>SUPERSEDED: old Sample-E h*K=0.01 (use clasen_e_km@0.03)</t>
        </is>
      </c>
    </row>
    <row r="99">
      <c r="A99" t="b">
        <v>0</v>
      </c>
      <c r="B99" t="n">
        <v>98</v>
      </c>
      <c r="C99" t="inlineStr">
        <is>
          <t>C1</t>
        </is>
      </c>
      <c r="D99" t="inlineStr">
        <is>
          <t>styext</t>
        </is>
      </c>
      <c r="E99" t="n">
        <v>11200</v>
      </c>
      <c r="F99" t="n">
        <v>0.01</v>
      </c>
      <c r="G99" t="inlineStr">
        <is>
          <t>fenepm</t>
        </is>
      </c>
      <c r="H99" t="inlineStr">
        <is>
          <t>c2d2</t>
        </is>
      </c>
      <c r="I99" t="n">
        <v>0.004</v>
      </c>
      <c r="J99" t="n">
        <v>1</v>
      </c>
      <c r="K99" t="inlineStr">
        <is>
          <t>clasen</t>
        </is>
      </c>
      <c r="L99" t="inlineStr">
        <is>
          <t>julia/experiments/tnwpaper/outputs/exptl_comparison</t>
        </is>
      </c>
      <c r="M99" t="inlineStr">
        <is>
          <t>SUPERSEDED: old Sample-E h*K=0.01 (use clasen_e_km@0.03)</t>
        </is>
      </c>
    </row>
    <row r="100">
      <c r="A100" t="b">
        <v>0</v>
      </c>
      <c r="B100" t="n">
        <v>99</v>
      </c>
      <c r="C100" t="inlineStr">
        <is>
          <t>C1</t>
        </is>
      </c>
      <c r="D100" t="inlineStr">
        <is>
          <t>caber</t>
        </is>
      </c>
      <c r="E100" t="n">
        <v>11200</v>
      </c>
      <c r="F100" t="n">
        <v>0.01</v>
      </c>
      <c r="G100" t="inlineStr">
        <is>
          <t>fenepm</t>
        </is>
      </c>
      <c r="H100" t="inlineStr">
        <is>
          <t>constant</t>
        </is>
      </c>
      <c r="I100" t="n">
        <v>0.004</v>
      </c>
      <c r="J100" t="inlineStr">
        <is>
          <t>[0.01, 0.03, 0.1, 0.3, 1, 3, 10, 30, 100]</t>
        </is>
      </c>
      <c r="K100" t="inlineStr">
        <is>
          <t>clasen</t>
        </is>
      </c>
      <c r="L100" t="inlineStr">
        <is>
          <t>julia/experiments/tnwpaper/outputs/exptl_comparison</t>
        </is>
      </c>
      <c r="M100" t="inlineStr">
        <is>
          <t>SUPERSEDED: old Sample-E h*K=0.01 (use clasen_e_km@0.03)</t>
        </is>
      </c>
    </row>
    <row r="101">
      <c r="A101" t="b">
        <v>0</v>
      </c>
      <c r="B101" t="n">
        <v>100</v>
      </c>
      <c r="C101" t="inlineStr">
        <is>
          <t>C1</t>
        </is>
      </c>
      <c r="D101" t="inlineStr">
        <is>
          <t>caber</t>
        </is>
      </c>
      <c r="E101" t="n">
        <v>11200</v>
      </c>
      <c r="F101" t="n">
        <v>0.01</v>
      </c>
      <c r="G101" t="inlineStr">
        <is>
          <t>fenepm</t>
        </is>
      </c>
      <c r="H101" t="inlineStr">
        <is>
          <t>c2d2</t>
        </is>
      </c>
      <c r="I101" t="n">
        <v>0.004</v>
      </c>
      <c r="J101" t="inlineStr">
        <is>
          <t>[0.01, 0.03, 0.1, 0.3, 1, 3, 10, 30, 100]</t>
        </is>
      </c>
      <c r="K101" t="inlineStr">
        <is>
          <t>clasen</t>
        </is>
      </c>
      <c r="L101" t="inlineStr">
        <is>
          <t>julia/experiments/tnwpaper/outputs/exptl_comparison</t>
        </is>
      </c>
      <c r="M101" t="inlineStr">
        <is>
          <t>SUPERSEDED: old Sample-E h*K=0.01 (use clasen_e_km@0.03)</t>
        </is>
      </c>
    </row>
    <row r="102">
      <c r="A102" t="b">
        <v>0</v>
      </c>
      <c r="B102" t="n">
        <v>101</v>
      </c>
      <c r="C102" t="inlineStr">
        <is>
          <t>C2</t>
        </is>
      </c>
      <c r="D102" t="inlineStr">
        <is>
          <t>styext</t>
        </is>
      </c>
      <c r="E102" t="n">
        <v>11200</v>
      </c>
      <c r="F102" t="n">
        <v>0.01</v>
      </c>
      <c r="G102" t="inlineStr">
        <is>
          <t>fenepm</t>
        </is>
      </c>
      <c r="H102" t="inlineStr">
        <is>
          <t>constant</t>
        </is>
      </c>
      <c r="I102" t="n">
        <v>0.005</v>
      </c>
      <c r="J102" t="n">
        <v>1</v>
      </c>
      <c r="K102" t="inlineStr">
        <is>
          <t>clasen</t>
        </is>
      </c>
      <c r="L102" t="inlineStr">
        <is>
          <t>julia/experiments/tnwpaper/outputs/exptl_comparison</t>
        </is>
      </c>
      <c r="M102" t="inlineStr">
        <is>
          <t>SUPERSEDED: old Sample-E h*K=0.01 (use clasen_e_km@0.03)</t>
        </is>
      </c>
    </row>
    <row r="103">
      <c r="A103" t="b">
        <v>0</v>
      </c>
      <c r="B103" t="n">
        <v>102</v>
      </c>
      <c r="C103" t="inlineStr">
        <is>
          <t>C2</t>
        </is>
      </c>
      <c r="D103" t="inlineStr">
        <is>
          <t>styext</t>
        </is>
      </c>
      <c r="E103" t="n">
        <v>11200</v>
      </c>
      <c r="F103" t="n">
        <v>0.01</v>
      </c>
      <c r="G103" t="inlineStr">
        <is>
          <t>fenepm</t>
        </is>
      </c>
      <c r="H103" t="inlineStr">
        <is>
          <t>c2d2</t>
        </is>
      </c>
      <c r="I103" t="n">
        <v>0.005</v>
      </c>
      <c r="J103" t="n">
        <v>1</v>
      </c>
      <c r="K103" t="inlineStr">
        <is>
          <t>clasen</t>
        </is>
      </c>
      <c r="L103" t="inlineStr">
        <is>
          <t>julia/experiments/tnwpaper/outputs/exptl_comparison</t>
        </is>
      </c>
      <c r="M103" t="inlineStr">
        <is>
          <t>SUPERSEDED: old Sample-E h*K=0.01 (use clasen_e_km@0.03)</t>
        </is>
      </c>
    </row>
    <row r="104">
      <c r="A104" t="b">
        <v>0</v>
      </c>
      <c r="B104" t="n">
        <v>103</v>
      </c>
      <c r="C104" t="inlineStr">
        <is>
          <t>C2</t>
        </is>
      </c>
      <c r="D104" t="inlineStr">
        <is>
          <t>caber</t>
        </is>
      </c>
      <c r="E104" t="n">
        <v>11200</v>
      </c>
      <c r="F104" t="n">
        <v>0.01</v>
      </c>
      <c r="G104" t="inlineStr">
        <is>
          <t>fenepm</t>
        </is>
      </c>
      <c r="H104" t="inlineStr">
        <is>
          <t>constant</t>
        </is>
      </c>
      <c r="I104" t="n">
        <v>0.005</v>
      </c>
      <c r="J104" t="inlineStr">
        <is>
          <t>[0.01, 0.03, 0.1, 0.3, 1, 3, 10, 30, 100]</t>
        </is>
      </c>
      <c r="K104" t="inlineStr">
        <is>
          <t>clasen</t>
        </is>
      </c>
      <c r="L104" t="inlineStr">
        <is>
          <t>julia/experiments/tnwpaper/outputs/exptl_comparison</t>
        </is>
      </c>
      <c r="M104" t="inlineStr">
        <is>
          <t>SUPERSEDED: old Sample-E h*K=0.01 (use clasen_e_km@0.03)</t>
        </is>
      </c>
    </row>
    <row r="105">
      <c r="A105" t="b">
        <v>0</v>
      </c>
      <c r="B105" t="n">
        <v>104</v>
      </c>
      <c r="C105" t="inlineStr">
        <is>
          <t>C2</t>
        </is>
      </c>
      <c r="D105" t="inlineStr">
        <is>
          <t>caber</t>
        </is>
      </c>
      <c r="E105" t="n">
        <v>11200</v>
      </c>
      <c r="F105" t="n">
        <v>0.01</v>
      </c>
      <c r="G105" t="inlineStr">
        <is>
          <t>fenepm</t>
        </is>
      </c>
      <c r="H105" t="inlineStr">
        <is>
          <t>c2d2</t>
        </is>
      </c>
      <c r="I105" t="n">
        <v>0.005</v>
      </c>
      <c r="J105" t="inlineStr">
        <is>
          <t>[0.01, 0.03, 0.1, 0.3, 1, 3, 10, 30, 100]</t>
        </is>
      </c>
      <c r="K105" t="inlineStr">
        <is>
          <t>clasen</t>
        </is>
      </c>
      <c r="L105" t="inlineStr">
        <is>
          <t>julia/experiments/tnwpaper/outputs/exptl_comparison</t>
        </is>
      </c>
      <c r="M105" t="inlineStr">
        <is>
          <t>SUPERSEDED: old Sample-E h*K=0.01 (use clasen_e_km@0.03)</t>
        </is>
      </c>
    </row>
    <row r="106">
      <c r="A106" t="b">
        <v>0</v>
      </c>
      <c r="B106" t="n">
        <v>105</v>
      </c>
      <c r="C106" t="inlineStr">
        <is>
          <t>C3</t>
        </is>
      </c>
      <c r="D106" t="inlineStr">
        <is>
          <t>styext</t>
        </is>
      </c>
      <c r="E106" t="n">
        <v>11200</v>
      </c>
      <c r="F106" t="n">
        <v>0.01</v>
      </c>
      <c r="G106" t="inlineStr">
        <is>
          <t>fenepm</t>
        </is>
      </c>
      <c r="H106" t="inlineStr">
        <is>
          <t>constant</t>
        </is>
      </c>
      <c r="I106" t="n">
        <v>0.016</v>
      </c>
      <c r="J106" t="n">
        <v>1</v>
      </c>
      <c r="K106" t="inlineStr">
        <is>
          <t>clasen</t>
        </is>
      </c>
      <c r="L106" t="inlineStr">
        <is>
          <t>julia/experiments/tnwpaper/outputs/exptl_comparison</t>
        </is>
      </c>
      <c r="M106" t="inlineStr">
        <is>
          <t>SUPERSEDED: old Sample-E h*K=0.01 (use clasen_e_km@0.03)</t>
        </is>
      </c>
    </row>
    <row r="107">
      <c r="A107" t="b">
        <v>0</v>
      </c>
      <c r="B107" t="n">
        <v>106</v>
      </c>
      <c r="C107" t="inlineStr">
        <is>
          <t>C3</t>
        </is>
      </c>
      <c r="D107" t="inlineStr">
        <is>
          <t>styext</t>
        </is>
      </c>
      <c r="E107" t="n">
        <v>11200</v>
      </c>
      <c r="F107" t="n">
        <v>0.01</v>
      </c>
      <c r="G107" t="inlineStr">
        <is>
          <t>fenepm</t>
        </is>
      </c>
      <c r="H107" t="inlineStr">
        <is>
          <t>c2d2</t>
        </is>
      </c>
      <c r="I107" t="n">
        <v>0.016</v>
      </c>
      <c r="J107" t="n">
        <v>1</v>
      </c>
      <c r="K107" t="inlineStr">
        <is>
          <t>clasen</t>
        </is>
      </c>
      <c r="L107" t="inlineStr">
        <is>
          <t>julia/experiments/tnwpaper/outputs/exptl_comparison</t>
        </is>
      </c>
      <c r="M107" t="inlineStr">
        <is>
          <t>SUPERSEDED: old Sample-E h*K=0.01 (use clasen_e_km@0.03)</t>
        </is>
      </c>
    </row>
    <row r="108">
      <c r="A108" t="b">
        <v>0</v>
      </c>
      <c r="B108" t="n">
        <v>107</v>
      </c>
      <c r="C108" t="inlineStr">
        <is>
          <t>C3</t>
        </is>
      </c>
      <c r="D108" t="inlineStr">
        <is>
          <t>caber</t>
        </is>
      </c>
      <c r="E108" t="n">
        <v>11200</v>
      </c>
      <c r="F108" t="n">
        <v>0.01</v>
      </c>
      <c r="G108" t="inlineStr">
        <is>
          <t>fenepm</t>
        </is>
      </c>
      <c r="H108" t="inlineStr">
        <is>
          <t>constant</t>
        </is>
      </c>
      <c r="I108" t="n">
        <v>0.016</v>
      </c>
      <c r="J108" t="inlineStr">
        <is>
          <t>[0.01, 0.03, 0.1, 0.3, 1, 3, 10, 30, 100]</t>
        </is>
      </c>
      <c r="K108" t="inlineStr">
        <is>
          <t>clasen</t>
        </is>
      </c>
      <c r="L108" t="inlineStr">
        <is>
          <t>julia/experiments/tnwpaper/outputs/exptl_comparison</t>
        </is>
      </c>
      <c r="M108" t="inlineStr">
        <is>
          <t>SUPERSEDED: old Sample-E h*K=0.01 (use clasen_e_km@0.03)</t>
        </is>
      </c>
    </row>
    <row r="109">
      <c r="A109" t="b">
        <v>0</v>
      </c>
      <c r="B109" t="n">
        <v>108</v>
      </c>
      <c r="C109" t="inlineStr">
        <is>
          <t>C3</t>
        </is>
      </c>
      <c r="D109" t="inlineStr">
        <is>
          <t>caber</t>
        </is>
      </c>
      <c r="E109" t="n">
        <v>11200</v>
      </c>
      <c r="F109" t="n">
        <v>0.01</v>
      </c>
      <c r="G109" t="inlineStr">
        <is>
          <t>fenepm</t>
        </is>
      </c>
      <c r="H109" t="inlineStr">
        <is>
          <t>c2d2</t>
        </is>
      </c>
      <c r="I109" t="n">
        <v>0.016</v>
      </c>
      <c r="J109" t="inlineStr">
        <is>
          <t>[0.01, 0.03, 0.1, 0.3, 1, 3, 10, 30, 100]</t>
        </is>
      </c>
      <c r="K109" t="inlineStr">
        <is>
          <t>clasen</t>
        </is>
      </c>
      <c r="L109" t="inlineStr">
        <is>
          <t>julia/experiments/tnwpaper/outputs/exptl_comparison</t>
        </is>
      </c>
      <c r="M109" t="inlineStr">
        <is>
          <t>SUPERSEDED: old Sample-E h*K=0.01 (use clasen_e_km@0.03)</t>
        </is>
      </c>
    </row>
    <row r="110">
      <c r="A110" t="b">
        <v>0</v>
      </c>
      <c r="B110" t="n">
        <v>109</v>
      </c>
      <c r="C110" t="inlineStr">
        <is>
          <t>C4</t>
        </is>
      </c>
      <c r="D110" t="inlineStr">
        <is>
          <t>styext</t>
        </is>
      </c>
      <c r="E110" t="n">
        <v>11200</v>
      </c>
      <c r="F110" t="n">
        <v>0.01</v>
      </c>
      <c r="G110" t="inlineStr">
        <is>
          <t>fenepm</t>
        </is>
      </c>
      <c r="H110" t="inlineStr">
        <is>
          <t>constant</t>
        </is>
      </c>
      <c r="I110" t="n">
        <v>0.05</v>
      </c>
      <c r="J110" t="n">
        <v>1</v>
      </c>
      <c r="K110" t="inlineStr">
        <is>
          <t>clasen</t>
        </is>
      </c>
      <c r="L110" t="inlineStr">
        <is>
          <t>julia/experiments/tnwpaper/outputs/exptl_comparison</t>
        </is>
      </c>
      <c r="M110" t="inlineStr">
        <is>
          <t>SUPERSEDED: old Sample-E h*K=0.01 (use clasen_e_km@0.03)</t>
        </is>
      </c>
    </row>
    <row r="111">
      <c r="A111" t="b">
        <v>0</v>
      </c>
      <c r="B111" t="n">
        <v>110</v>
      </c>
      <c r="C111" t="inlineStr">
        <is>
          <t>C4</t>
        </is>
      </c>
      <c r="D111" t="inlineStr">
        <is>
          <t>styext</t>
        </is>
      </c>
      <c r="E111" t="n">
        <v>11200</v>
      </c>
      <c r="F111" t="n">
        <v>0.01</v>
      </c>
      <c r="G111" t="inlineStr">
        <is>
          <t>fenepm</t>
        </is>
      </c>
      <c r="H111" t="inlineStr">
        <is>
          <t>c2d2</t>
        </is>
      </c>
      <c r="I111" t="n">
        <v>0.05</v>
      </c>
      <c r="J111" t="n">
        <v>1</v>
      </c>
      <c r="K111" t="inlineStr">
        <is>
          <t>clasen</t>
        </is>
      </c>
      <c r="L111" t="inlineStr">
        <is>
          <t>julia/experiments/tnwpaper/outputs/exptl_comparison</t>
        </is>
      </c>
      <c r="M111" t="inlineStr">
        <is>
          <t>SUPERSEDED: old Sample-E h*K=0.01 (use clasen_e_km@0.03)</t>
        </is>
      </c>
    </row>
    <row r="112">
      <c r="A112" t="b">
        <v>0</v>
      </c>
      <c r="B112" t="n">
        <v>111</v>
      </c>
      <c r="C112" t="inlineStr">
        <is>
          <t>C4</t>
        </is>
      </c>
      <c r="D112" t="inlineStr">
        <is>
          <t>caber</t>
        </is>
      </c>
      <c r="E112" t="n">
        <v>11200</v>
      </c>
      <c r="F112" t="n">
        <v>0.01</v>
      </c>
      <c r="G112" t="inlineStr">
        <is>
          <t>fenepm</t>
        </is>
      </c>
      <c r="H112" t="inlineStr">
        <is>
          <t>constant</t>
        </is>
      </c>
      <c r="I112" t="n">
        <v>0.05</v>
      </c>
      <c r="J112" t="inlineStr">
        <is>
          <t>[0.01, 0.03, 0.1, 0.3, 1, 3, 10, 30, 100]</t>
        </is>
      </c>
      <c r="K112" t="inlineStr">
        <is>
          <t>clasen</t>
        </is>
      </c>
      <c r="L112" t="inlineStr">
        <is>
          <t>julia/experiments/tnwpaper/outputs/exptl_comparison</t>
        </is>
      </c>
      <c r="M112" t="inlineStr">
        <is>
          <t>SUPERSEDED: old Sample-E h*K=0.01 (use clasen_e_km@0.03)</t>
        </is>
      </c>
    </row>
    <row r="113">
      <c r="A113" t="b">
        <v>0</v>
      </c>
      <c r="B113" t="n">
        <v>112</v>
      </c>
      <c r="C113" t="inlineStr">
        <is>
          <t>C4</t>
        </is>
      </c>
      <c r="D113" t="inlineStr">
        <is>
          <t>caber</t>
        </is>
      </c>
      <c r="E113" t="n">
        <v>11200</v>
      </c>
      <c r="F113" t="n">
        <v>0.01</v>
      </c>
      <c r="G113" t="inlineStr">
        <is>
          <t>fenepm</t>
        </is>
      </c>
      <c r="H113" t="inlineStr">
        <is>
          <t>c2d2</t>
        </is>
      </c>
      <c r="I113" t="n">
        <v>0.05</v>
      </c>
      <c r="J113" t="inlineStr">
        <is>
          <t>[0.01, 0.03, 0.1, 0.3, 1, 3, 10, 30, 100]</t>
        </is>
      </c>
      <c r="K113" t="inlineStr">
        <is>
          <t>clasen</t>
        </is>
      </c>
      <c r="L113" t="inlineStr">
        <is>
          <t>julia/experiments/tnwpaper/outputs/exptl_comparison</t>
        </is>
      </c>
      <c r="M113" t="inlineStr">
        <is>
          <t>SUPERSEDED: old Sample-E h*K=0.01 (use clasen_e_km@0.03)</t>
        </is>
      </c>
    </row>
    <row r="114">
      <c r="A114" t="b">
        <v>0</v>
      </c>
      <c r="B114" t="n">
        <v>113</v>
      </c>
      <c r="C114" t="inlineStr">
        <is>
          <t>C5</t>
        </is>
      </c>
      <c r="D114" t="inlineStr">
        <is>
          <t>styext</t>
        </is>
      </c>
      <c r="E114" t="n">
        <v>11200</v>
      </c>
      <c r="F114" t="n">
        <v>0.01</v>
      </c>
      <c r="G114" t="inlineStr">
        <is>
          <t>fenepm</t>
        </is>
      </c>
      <c r="H114" t="inlineStr">
        <is>
          <t>constant</t>
        </is>
      </c>
      <c r="I114" t="n">
        <v>0.16</v>
      </c>
      <c r="J114" t="n">
        <v>1</v>
      </c>
      <c r="K114" t="inlineStr">
        <is>
          <t>clasen</t>
        </is>
      </c>
      <c r="L114" t="inlineStr">
        <is>
          <t>julia/experiments/tnwpaper/outputs/exptl_comparison</t>
        </is>
      </c>
      <c r="M114" t="inlineStr">
        <is>
          <t>SUPERSEDED: old Sample-E h*K=0.01 (use clasen_e_km@0.03)</t>
        </is>
      </c>
    </row>
    <row r="115">
      <c r="A115" t="b">
        <v>0</v>
      </c>
      <c r="B115" t="n">
        <v>114</v>
      </c>
      <c r="C115" t="inlineStr">
        <is>
          <t>C5</t>
        </is>
      </c>
      <c r="D115" t="inlineStr">
        <is>
          <t>styext</t>
        </is>
      </c>
      <c r="E115" t="n">
        <v>11200</v>
      </c>
      <c r="F115" t="n">
        <v>0.01</v>
      </c>
      <c r="G115" t="inlineStr">
        <is>
          <t>fenepm</t>
        </is>
      </c>
      <c r="H115" t="inlineStr">
        <is>
          <t>c2d2</t>
        </is>
      </c>
      <c r="I115" t="n">
        <v>0.16</v>
      </c>
      <c r="J115" t="n">
        <v>1</v>
      </c>
      <c r="K115" t="inlineStr">
        <is>
          <t>clasen</t>
        </is>
      </c>
      <c r="L115" t="inlineStr">
        <is>
          <t>julia/experiments/tnwpaper/outputs/exptl_comparison</t>
        </is>
      </c>
      <c r="M115" t="inlineStr">
        <is>
          <t>SUPERSEDED: old Sample-E h*K=0.01 (use clasen_e_km@0.03)</t>
        </is>
      </c>
    </row>
    <row r="116">
      <c r="A116" t="b">
        <v>0</v>
      </c>
      <c r="B116" t="n">
        <v>115</v>
      </c>
      <c r="C116" t="inlineStr">
        <is>
          <t>C5</t>
        </is>
      </c>
      <c r="D116" t="inlineStr">
        <is>
          <t>caber</t>
        </is>
      </c>
      <c r="E116" t="n">
        <v>11200</v>
      </c>
      <c r="F116" t="n">
        <v>0.01</v>
      </c>
      <c r="G116" t="inlineStr">
        <is>
          <t>fenepm</t>
        </is>
      </c>
      <c r="H116" t="inlineStr">
        <is>
          <t>constant</t>
        </is>
      </c>
      <c r="I116" t="n">
        <v>0.16</v>
      </c>
      <c r="J116" t="inlineStr">
        <is>
          <t>[0.01, 0.03, 0.1, 0.3, 1, 3, 10, 30, 100]</t>
        </is>
      </c>
      <c r="K116" t="inlineStr">
        <is>
          <t>clasen</t>
        </is>
      </c>
      <c r="L116" t="inlineStr">
        <is>
          <t>julia/experiments/tnwpaper/outputs/exptl_comparison</t>
        </is>
      </c>
      <c r="M116" t="inlineStr">
        <is>
          <t>SUPERSEDED: old Sample-E h*K=0.01 (use clasen_e_km@0.03)</t>
        </is>
      </c>
    </row>
    <row r="117">
      <c r="A117" t="b">
        <v>0</v>
      </c>
      <c r="B117" t="n">
        <v>116</v>
      </c>
      <c r="C117" t="inlineStr">
        <is>
          <t>C5</t>
        </is>
      </c>
      <c r="D117" t="inlineStr">
        <is>
          <t>caber</t>
        </is>
      </c>
      <c r="E117" t="n">
        <v>11200</v>
      </c>
      <c r="F117" t="n">
        <v>0.01</v>
      </c>
      <c r="G117" t="inlineStr">
        <is>
          <t>fenepm</t>
        </is>
      </c>
      <c r="H117" t="inlineStr">
        <is>
          <t>c2d2</t>
        </is>
      </c>
      <c r="I117" t="n">
        <v>0.16</v>
      </c>
      <c r="J117" t="inlineStr">
        <is>
          <t>[0.01, 0.03, 0.1, 0.3, 1, 3, 10, 30, 100]</t>
        </is>
      </c>
      <c r="K117" t="inlineStr">
        <is>
          <t>clasen</t>
        </is>
      </c>
      <c r="L117" t="inlineStr">
        <is>
          <t>julia/experiments/tnwpaper/outputs/exptl_comparison</t>
        </is>
      </c>
      <c r="M117" t="inlineStr">
        <is>
          <t>SUPERSEDED: old Sample-E h*K=0.01 (use clasen_e_km@0.03)</t>
        </is>
      </c>
    </row>
    <row r="118">
      <c r="A118" t="b">
        <v>0</v>
      </c>
      <c r="B118" t="n">
        <v>117</v>
      </c>
      <c r="C118" t="inlineStr">
        <is>
          <t>C6</t>
        </is>
      </c>
      <c r="D118" t="inlineStr">
        <is>
          <t>styext</t>
        </is>
      </c>
      <c r="E118" t="n">
        <v>11200</v>
      </c>
      <c r="F118" t="n">
        <v>0.01</v>
      </c>
      <c r="G118" t="inlineStr">
        <is>
          <t>fenepm</t>
        </is>
      </c>
      <c r="H118" t="inlineStr">
        <is>
          <t>constant</t>
        </is>
      </c>
      <c r="I118" t="n">
        <v>0.51</v>
      </c>
      <c r="J118" t="n">
        <v>1</v>
      </c>
      <c r="K118" t="inlineStr">
        <is>
          <t>clasen</t>
        </is>
      </c>
      <c r="L118" t="inlineStr">
        <is>
          <t>julia/experiments/tnwpaper/outputs/exptl_comparison</t>
        </is>
      </c>
      <c r="M118" t="inlineStr">
        <is>
          <t>SUPERSEDED: old Sample-E h*K=0.01 (use clasen_e_km@0.03)</t>
        </is>
      </c>
    </row>
    <row r="119">
      <c r="A119" t="b">
        <v>0</v>
      </c>
      <c r="B119" t="n">
        <v>118</v>
      </c>
      <c r="C119" t="inlineStr">
        <is>
          <t>C6</t>
        </is>
      </c>
      <c r="D119" t="inlineStr">
        <is>
          <t>styext</t>
        </is>
      </c>
      <c r="E119" t="n">
        <v>11200</v>
      </c>
      <c r="F119" t="n">
        <v>0.01</v>
      </c>
      <c r="G119" t="inlineStr">
        <is>
          <t>fenepm</t>
        </is>
      </c>
      <c r="H119" t="inlineStr">
        <is>
          <t>c2d2</t>
        </is>
      </c>
      <c r="I119" t="n">
        <v>0.51</v>
      </c>
      <c r="J119" t="n">
        <v>1</v>
      </c>
      <c r="K119" t="inlineStr">
        <is>
          <t>clasen</t>
        </is>
      </c>
      <c r="L119" t="inlineStr">
        <is>
          <t>julia/experiments/tnwpaper/outputs/exptl_comparison</t>
        </is>
      </c>
      <c r="M119" t="inlineStr">
        <is>
          <t>SUPERSEDED: old Sample-E h*K=0.01 (use clasen_e_km@0.03)</t>
        </is>
      </c>
    </row>
    <row r="120">
      <c r="A120" t="b">
        <v>0</v>
      </c>
      <c r="B120" t="n">
        <v>119</v>
      </c>
      <c r="C120" t="inlineStr">
        <is>
          <t>C6</t>
        </is>
      </c>
      <c r="D120" t="inlineStr">
        <is>
          <t>caber</t>
        </is>
      </c>
      <c r="E120" t="n">
        <v>11200</v>
      </c>
      <c r="F120" t="n">
        <v>0.01</v>
      </c>
      <c r="G120" t="inlineStr">
        <is>
          <t>fenepm</t>
        </is>
      </c>
      <c r="H120" t="inlineStr">
        <is>
          <t>constant</t>
        </is>
      </c>
      <c r="I120" t="n">
        <v>0.51</v>
      </c>
      <c r="J120" t="inlineStr">
        <is>
          <t>[0.01, 0.03, 0.1, 0.3, 1, 3, 10, 30, 100]</t>
        </is>
      </c>
      <c r="K120" t="inlineStr">
        <is>
          <t>clasen</t>
        </is>
      </c>
      <c r="L120" t="inlineStr">
        <is>
          <t>julia/experiments/tnwpaper/outputs/exptl_comparison</t>
        </is>
      </c>
      <c r="M120" t="inlineStr">
        <is>
          <t>SUPERSEDED: old Sample-E h*K=0.01 (use clasen_e_km@0.03)</t>
        </is>
      </c>
    </row>
    <row r="121">
      <c r="A121" t="b">
        <v>0</v>
      </c>
      <c r="B121" t="n">
        <v>120</v>
      </c>
      <c r="C121" t="inlineStr">
        <is>
          <t>C6</t>
        </is>
      </c>
      <c r="D121" t="inlineStr">
        <is>
          <t>caber</t>
        </is>
      </c>
      <c r="E121" t="n">
        <v>11200</v>
      </c>
      <c r="F121" t="n">
        <v>0.01</v>
      </c>
      <c r="G121" t="inlineStr">
        <is>
          <t>fenepm</t>
        </is>
      </c>
      <c r="H121" t="inlineStr">
        <is>
          <t>c2d2</t>
        </is>
      </c>
      <c r="I121" t="n">
        <v>0.51</v>
      </c>
      <c r="J121" t="inlineStr">
        <is>
          <t>[0.01, 0.03, 0.1, 0.3, 1, 3, 10, 30, 100]</t>
        </is>
      </c>
      <c r="K121" t="inlineStr">
        <is>
          <t>clasen</t>
        </is>
      </c>
      <c r="L121" t="inlineStr">
        <is>
          <t>julia/experiments/tnwpaper/outputs/exptl_comparison</t>
        </is>
      </c>
      <c r="M121" t="inlineStr">
        <is>
          <t>SUPERSEDED: old Sample-E h*K=0.01 (use clasen_e_km@0.03)</t>
        </is>
      </c>
    </row>
    <row r="122">
      <c r="A122" t="b">
        <v>0</v>
      </c>
      <c r="B122" t="n">
        <v>121</v>
      </c>
      <c r="C122" t="inlineStr">
        <is>
          <t>C1</t>
        </is>
      </c>
      <c r="D122" t="inlineStr">
        <is>
          <t>styext</t>
        </is>
      </c>
      <c r="E122" t="n">
        <v>11200</v>
      </c>
      <c r="F122" t="n">
        <v>0.02</v>
      </c>
      <c r="G122" t="inlineStr">
        <is>
          <t>fenepm</t>
        </is>
      </c>
      <c r="H122" t="inlineStr">
        <is>
          <t>constant</t>
        </is>
      </c>
      <c r="I122" t="n">
        <v>0.004</v>
      </c>
      <c r="J122" t="n">
        <v>1</v>
      </c>
      <c r="K122" t="inlineStr">
        <is>
          <t>clasen</t>
        </is>
      </c>
      <c r="L122" t="inlineStr">
        <is>
          <t>julia/experiments/tnwpaper/outputs/exptl_comparison</t>
        </is>
      </c>
      <c r="M122" t="inlineStr">
        <is>
          <t>SUPERSEDED: old Sample-E h*K=0.02</t>
        </is>
      </c>
    </row>
    <row r="123">
      <c r="A123" t="b">
        <v>0</v>
      </c>
      <c r="B123" t="n">
        <v>122</v>
      </c>
      <c r="C123" t="inlineStr">
        <is>
          <t>C1</t>
        </is>
      </c>
      <c r="D123" t="inlineStr">
        <is>
          <t>styext</t>
        </is>
      </c>
      <c r="E123" t="n">
        <v>11200</v>
      </c>
      <c r="F123" t="n">
        <v>0.02</v>
      </c>
      <c r="G123" t="inlineStr">
        <is>
          <t>fenepm</t>
        </is>
      </c>
      <c r="H123" t="inlineStr">
        <is>
          <t>c2d2</t>
        </is>
      </c>
      <c r="I123" t="n">
        <v>0.004</v>
      </c>
      <c r="J123" t="n">
        <v>1</v>
      </c>
      <c r="K123" t="inlineStr">
        <is>
          <t>clasen</t>
        </is>
      </c>
      <c r="L123" t="inlineStr">
        <is>
          <t>julia/experiments/tnwpaper/outputs/exptl_comparison</t>
        </is>
      </c>
      <c r="M123" t="inlineStr">
        <is>
          <t>SUPERSEDED: old Sample-E h*K=0.02</t>
        </is>
      </c>
    </row>
    <row r="124">
      <c r="A124" t="b">
        <v>0</v>
      </c>
      <c r="B124" t="n">
        <v>123</v>
      </c>
      <c r="C124" t="inlineStr">
        <is>
          <t>C1</t>
        </is>
      </c>
      <c r="D124" t="inlineStr">
        <is>
          <t>caber</t>
        </is>
      </c>
      <c r="E124" t="n">
        <v>11200</v>
      </c>
      <c r="F124" t="n">
        <v>0.02</v>
      </c>
      <c r="G124" t="inlineStr">
        <is>
          <t>fenepm</t>
        </is>
      </c>
      <c r="H124" t="inlineStr">
        <is>
          <t>constant</t>
        </is>
      </c>
      <c r="I124" t="n">
        <v>0.004</v>
      </c>
      <c r="J124" t="inlineStr">
        <is>
          <t>[0.01, 0.03, 0.1, 0.3, 1, 3, 10, 30, 100]</t>
        </is>
      </c>
      <c r="K124" t="inlineStr">
        <is>
          <t>clasen</t>
        </is>
      </c>
      <c r="L124" t="inlineStr">
        <is>
          <t>julia/experiments/tnwpaper/outputs/exptl_comparison</t>
        </is>
      </c>
      <c r="M124" t="inlineStr">
        <is>
          <t>SUPERSEDED: old Sample-E h*K=0.02</t>
        </is>
      </c>
    </row>
    <row r="125">
      <c r="A125" t="b">
        <v>0</v>
      </c>
      <c r="B125" t="n">
        <v>124</v>
      </c>
      <c r="C125" t="inlineStr">
        <is>
          <t>C1</t>
        </is>
      </c>
      <c r="D125" t="inlineStr">
        <is>
          <t>caber</t>
        </is>
      </c>
      <c r="E125" t="n">
        <v>11200</v>
      </c>
      <c r="F125" t="n">
        <v>0.02</v>
      </c>
      <c r="G125" t="inlineStr">
        <is>
          <t>fenepm</t>
        </is>
      </c>
      <c r="H125" t="inlineStr">
        <is>
          <t>c2d2</t>
        </is>
      </c>
      <c r="I125" t="n">
        <v>0.004</v>
      </c>
      <c r="J125" t="inlineStr">
        <is>
          <t>[0.01, 0.03, 0.1, 0.3, 1, 3, 10, 30, 100]</t>
        </is>
      </c>
      <c r="K125" t="inlineStr">
        <is>
          <t>clasen</t>
        </is>
      </c>
      <c r="L125" t="inlineStr">
        <is>
          <t>julia/experiments/tnwpaper/outputs/exptl_comparison</t>
        </is>
      </c>
      <c r="M125" t="inlineStr">
        <is>
          <t>SUPERSEDED: old Sample-E h*K=0.02</t>
        </is>
      </c>
    </row>
    <row r="126">
      <c r="A126" t="b">
        <v>0</v>
      </c>
      <c r="B126" t="n">
        <v>125</v>
      </c>
      <c r="C126" t="inlineStr">
        <is>
          <t>C2</t>
        </is>
      </c>
      <c r="D126" t="inlineStr">
        <is>
          <t>styext</t>
        </is>
      </c>
      <c r="E126" t="n">
        <v>11200</v>
      </c>
      <c r="F126" t="n">
        <v>0.02</v>
      </c>
      <c r="G126" t="inlineStr">
        <is>
          <t>fenepm</t>
        </is>
      </c>
      <c r="H126" t="inlineStr">
        <is>
          <t>constant</t>
        </is>
      </c>
      <c r="I126" t="n">
        <v>0.005</v>
      </c>
      <c r="J126" t="n">
        <v>1</v>
      </c>
      <c r="K126" t="inlineStr">
        <is>
          <t>clasen</t>
        </is>
      </c>
      <c r="L126" t="inlineStr">
        <is>
          <t>julia/experiments/tnwpaper/outputs/exptl_comparison</t>
        </is>
      </c>
      <c r="M126" t="inlineStr">
        <is>
          <t>SUPERSEDED: old Sample-E h*K=0.02</t>
        </is>
      </c>
    </row>
    <row r="127">
      <c r="A127" t="b">
        <v>0</v>
      </c>
      <c r="B127" t="n">
        <v>126</v>
      </c>
      <c r="C127" t="inlineStr">
        <is>
          <t>C2</t>
        </is>
      </c>
      <c r="D127" t="inlineStr">
        <is>
          <t>styext</t>
        </is>
      </c>
      <c r="E127" t="n">
        <v>11200</v>
      </c>
      <c r="F127" t="n">
        <v>0.02</v>
      </c>
      <c r="G127" t="inlineStr">
        <is>
          <t>fenepm</t>
        </is>
      </c>
      <c r="H127" t="inlineStr">
        <is>
          <t>c2d2</t>
        </is>
      </c>
      <c r="I127" t="n">
        <v>0.005</v>
      </c>
      <c r="J127" t="n">
        <v>1</v>
      </c>
      <c r="K127" t="inlineStr">
        <is>
          <t>clasen</t>
        </is>
      </c>
      <c r="L127" t="inlineStr">
        <is>
          <t>julia/experiments/tnwpaper/outputs/exptl_comparison</t>
        </is>
      </c>
      <c r="M127" t="inlineStr">
        <is>
          <t>SUPERSEDED: old Sample-E h*K=0.02</t>
        </is>
      </c>
    </row>
    <row r="128">
      <c r="A128" t="b">
        <v>0</v>
      </c>
      <c r="B128" t="n">
        <v>127</v>
      </c>
      <c r="C128" t="inlineStr">
        <is>
          <t>C2</t>
        </is>
      </c>
      <c r="D128" t="inlineStr">
        <is>
          <t>caber</t>
        </is>
      </c>
      <c r="E128" t="n">
        <v>11200</v>
      </c>
      <c r="F128" t="n">
        <v>0.02</v>
      </c>
      <c r="G128" t="inlineStr">
        <is>
          <t>fenepm</t>
        </is>
      </c>
      <c r="H128" t="inlineStr">
        <is>
          <t>constant</t>
        </is>
      </c>
      <c r="I128" t="n">
        <v>0.005</v>
      </c>
      <c r="J128" t="inlineStr">
        <is>
          <t>[0.01, 0.03, 0.1, 0.3, 1, 3, 10, 30, 100]</t>
        </is>
      </c>
      <c r="K128" t="inlineStr">
        <is>
          <t>clasen</t>
        </is>
      </c>
      <c r="L128" t="inlineStr">
        <is>
          <t>julia/experiments/tnwpaper/outputs/exptl_comparison</t>
        </is>
      </c>
      <c r="M128" t="inlineStr">
        <is>
          <t>SUPERSEDED: old Sample-E h*K=0.02</t>
        </is>
      </c>
    </row>
    <row r="129">
      <c r="A129" t="b">
        <v>0</v>
      </c>
      <c r="B129" t="n">
        <v>128</v>
      </c>
      <c r="C129" t="inlineStr">
        <is>
          <t>C2</t>
        </is>
      </c>
      <c r="D129" t="inlineStr">
        <is>
          <t>caber</t>
        </is>
      </c>
      <c r="E129" t="n">
        <v>11200</v>
      </c>
      <c r="F129" t="n">
        <v>0.02</v>
      </c>
      <c r="G129" t="inlineStr">
        <is>
          <t>fenepm</t>
        </is>
      </c>
      <c r="H129" t="inlineStr">
        <is>
          <t>c2d2</t>
        </is>
      </c>
      <c r="I129" t="n">
        <v>0.005</v>
      </c>
      <c r="J129" t="inlineStr">
        <is>
          <t>[0.01, 0.03, 0.1, 0.3, 1, 3, 10, 30, 100]</t>
        </is>
      </c>
      <c r="K129" t="inlineStr">
        <is>
          <t>clasen</t>
        </is>
      </c>
      <c r="L129" t="inlineStr">
        <is>
          <t>julia/experiments/tnwpaper/outputs/exptl_comparison</t>
        </is>
      </c>
      <c r="M129" t="inlineStr">
        <is>
          <t>SUPERSEDED: old Sample-E h*K=0.02</t>
        </is>
      </c>
    </row>
    <row r="130">
      <c r="A130" t="b">
        <v>0</v>
      </c>
      <c r="B130" t="n">
        <v>129</v>
      </c>
      <c r="C130" t="inlineStr">
        <is>
          <t>C3</t>
        </is>
      </c>
      <c r="D130" t="inlineStr">
        <is>
          <t>styext</t>
        </is>
      </c>
      <c r="E130" t="n">
        <v>11200</v>
      </c>
      <c r="F130" t="n">
        <v>0.02</v>
      </c>
      <c r="G130" t="inlineStr">
        <is>
          <t>fenepm</t>
        </is>
      </c>
      <c r="H130" t="inlineStr">
        <is>
          <t>constant</t>
        </is>
      </c>
      <c r="I130" t="n">
        <v>0.016</v>
      </c>
      <c r="J130" t="n">
        <v>1</v>
      </c>
      <c r="K130" t="inlineStr">
        <is>
          <t>clasen</t>
        </is>
      </c>
      <c r="L130" t="inlineStr">
        <is>
          <t>julia/experiments/tnwpaper/outputs/exptl_comparison</t>
        </is>
      </c>
      <c r="M130" t="inlineStr">
        <is>
          <t>SUPERSEDED: old Sample-E h*K=0.02</t>
        </is>
      </c>
    </row>
    <row r="131">
      <c r="A131" t="b">
        <v>0</v>
      </c>
      <c r="B131" t="n">
        <v>130</v>
      </c>
      <c r="C131" t="inlineStr">
        <is>
          <t>C3</t>
        </is>
      </c>
      <c r="D131" t="inlineStr">
        <is>
          <t>styext</t>
        </is>
      </c>
      <c r="E131" t="n">
        <v>11200</v>
      </c>
      <c r="F131" t="n">
        <v>0.02</v>
      </c>
      <c r="G131" t="inlineStr">
        <is>
          <t>fenepm</t>
        </is>
      </c>
      <c r="H131" t="inlineStr">
        <is>
          <t>c2d2</t>
        </is>
      </c>
      <c r="I131" t="n">
        <v>0.016</v>
      </c>
      <c r="J131" t="n">
        <v>1</v>
      </c>
      <c r="K131" t="inlineStr">
        <is>
          <t>clasen</t>
        </is>
      </c>
      <c r="L131" t="inlineStr">
        <is>
          <t>julia/experiments/tnwpaper/outputs/exptl_comparison</t>
        </is>
      </c>
      <c r="M131" t="inlineStr">
        <is>
          <t>SUPERSEDED: old Sample-E h*K=0.02</t>
        </is>
      </c>
    </row>
    <row r="132">
      <c r="A132" t="b">
        <v>0</v>
      </c>
      <c r="B132" t="n">
        <v>131</v>
      </c>
      <c r="C132" t="inlineStr">
        <is>
          <t>C3</t>
        </is>
      </c>
      <c r="D132" t="inlineStr">
        <is>
          <t>caber</t>
        </is>
      </c>
      <c r="E132" t="n">
        <v>11200</v>
      </c>
      <c r="F132" t="n">
        <v>0.02</v>
      </c>
      <c r="G132" t="inlineStr">
        <is>
          <t>fenepm</t>
        </is>
      </c>
      <c r="H132" t="inlineStr">
        <is>
          <t>constant</t>
        </is>
      </c>
      <c r="I132" t="n">
        <v>0.016</v>
      </c>
      <c r="J132" t="inlineStr">
        <is>
          <t>[0.01, 0.03, 0.1, 0.3, 1, 3, 10, 30, 100]</t>
        </is>
      </c>
      <c r="K132" t="inlineStr">
        <is>
          <t>clasen</t>
        </is>
      </c>
      <c r="L132" t="inlineStr">
        <is>
          <t>julia/experiments/tnwpaper/outputs/exptl_comparison</t>
        </is>
      </c>
      <c r="M132" t="inlineStr">
        <is>
          <t>SUPERSEDED: old Sample-E h*K=0.02</t>
        </is>
      </c>
    </row>
    <row r="133">
      <c r="A133" t="b">
        <v>0</v>
      </c>
      <c r="B133" t="n">
        <v>132</v>
      </c>
      <c r="C133" t="inlineStr">
        <is>
          <t>C3</t>
        </is>
      </c>
      <c r="D133" t="inlineStr">
        <is>
          <t>caber</t>
        </is>
      </c>
      <c r="E133" t="n">
        <v>11200</v>
      </c>
      <c r="F133" t="n">
        <v>0.02</v>
      </c>
      <c r="G133" t="inlineStr">
        <is>
          <t>fenepm</t>
        </is>
      </c>
      <c r="H133" t="inlineStr">
        <is>
          <t>c2d2</t>
        </is>
      </c>
      <c r="I133" t="n">
        <v>0.016</v>
      </c>
      <c r="J133" t="inlineStr">
        <is>
          <t>[0.01, 0.03, 0.1, 0.3, 1, 3, 10, 30, 100]</t>
        </is>
      </c>
      <c r="K133" t="inlineStr">
        <is>
          <t>clasen</t>
        </is>
      </c>
      <c r="L133" t="inlineStr">
        <is>
          <t>julia/experiments/tnwpaper/outputs/exptl_comparison</t>
        </is>
      </c>
      <c r="M133" t="inlineStr">
        <is>
          <t>SUPERSEDED: old Sample-E h*K=0.02</t>
        </is>
      </c>
    </row>
    <row r="134">
      <c r="A134" t="b">
        <v>0</v>
      </c>
      <c r="B134" t="n">
        <v>133</v>
      </c>
      <c r="C134" t="inlineStr">
        <is>
          <t>C4</t>
        </is>
      </c>
      <c r="D134" t="inlineStr">
        <is>
          <t>styext</t>
        </is>
      </c>
      <c r="E134" t="n">
        <v>11200</v>
      </c>
      <c r="F134" t="n">
        <v>0.02</v>
      </c>
      <c r="G134" t="inlineStr">
        <is>
          <t>fenepm</t>
        </is>
      </c>
      <c r="H134" t="inlineStr">
        <is>
          <t>constant</t>
        </is>
      </c>
      <c r="I134" t="n">
        <v>0.05</v>
      </c>
      <c r="J134" t="n">
        <v>1</v>
      </c>
      <c r="K134" t="inlineStr">
        <is>
          <t>clasen</t>
        </is>
      </c>
      <c r="L134" t="inlineStr">
        <is>
          <t>julia/experiments/tnwpaper/outputs/exptl_comparison</t>
        </is>
      </c>
      <c r="M134" t="inlineStr">
        <is>
          <t>SUPERSEDED: old Sample-E h*K=0.02</t>
        </is>
      </c>
    </row>
    <row r="135">
      <c r="A135" t="b">
        <v>0</v>
      </c>
      <c r="B135" t="n">
        <v>134</v>
      </c>
      <c r="C135" t="inlineStr">
        <is>
          <t>C4</t>
        </is>
      </c>
      <c r="D135" t="inlineStr">
        <is>
          <t>styext</t>
        </is>
      </c>
      <c r="E135" t="n">
        <v>11200</v>
      </c>
      <c r="F135" t="n">
        <v>0.02</v>
      </c>
      <c r="G135" t="inlineStr">
        <is>
          <t>fenepm</t>
        </is>
      </c>
      <c r="H135" t="inlineStr">
        <is>
          <t>c2d2</t>
        </is>
      </c>
      <c r="I135" t="n">
        <v>0.05</v>
      </c>
      <c r="J135" t="n">
        <v>1</v>
      </c>
      <c r="K135" t="inlineStr">
        <is>
          <t>clasen</t>
        </is>
      </c>
      <c r="L135" t="inlineStr">
        <is>
          <t>julia/experiments/tnwpaper/outputs/exptl_comparison</t>
        </is>
      </c>
      <c r="M135" t="inlineStr">
        <is>
          <t>SUPERSEDED: old Sample-E h*K=0.02</t>
        </is>
      </c>
    </row>
    <row r="136">
      <c r="A136" t="b">
        <v>0</v>
      </c>
      <c r="B136" t="n">
        <v>135</v>
      </c>
      <c r="C136" t="inlineStr">
        <is>
          <t>C4</t>
        </is>
      </c>
      <c r="D136" t="inlineStr">
        <is>
          <t>caber</t>
        </is>
      </c>
      <c r="E136" t="n">
        <v>11200</v>
      </c>
      <c r="F136" t="n">
        <v>0.02</v>
      </c>
      <c r="G136" t="inlineStr">
        <is>
          <t>fenepm</t>
        </is>
      </c>
      <c r="H136" t="inlineStr">
        <is>
          <t>constant</t>
        </is>
      </c>
      <c r="I136" t="n">
        <v>0.05</v>
      </c>
      <c r="J136" t="inlineStr">
        <is>
          <t>[0.01, 0.03, 0.1, 0.3, 1, 3, 10, 30, 100]</t>
        </is>
      </c>
      <c r="K136" t="inlineStr">
        <is>
          <t>clasen</t>
        </is>
      </c>
      <c r="L136" t="inlineStr">
        <is>
          <t>julia/experiments/tnwpaper/outputs/exptl_comparison</t>
        </is>
      </c>
      <c r="M136" t="inlineStr">
        <is>
          <t>SUPERSEDED: old Sample-E h*K=0.02</t>
        </is>
      </c>
    </row>
    <row r="137">
      <c r="A137" t="b">
        <v>0</v>
      </c>
      <c r="B137" t="n">
        <v>136</v>
      </c>
      <c r="C137" t="inlineStr">
        <is>
          <t>C4</t>
        </is>
      </c>
      <c r="D137" t="inlineStr">
        <is>
          <t>caber</t>
        </is>
      </c>
      <c r="E137" t="n">
        <v>11200</v>
      </c>
      <c r="F137" t="n">
        <v>0.02</v>
      </c>
      <c r="G137" t="inlineStr">
        <is>
          <t>fenepm</t>
        </is>
      </c>
      <c r="H137" t="inlineStr">
        <is>
          <t>c2d2</t>
        </is>
      </c>
      <c r="I137" t="n">
        <v>0.05</v>
      </c>
      <c r="J137" t="inlineStr">
        <is>
          <t>[0.01, 0.03, 0.1, 0.3, 1, 3, 10, 30, 100]</t>
        </is>
      </c>
      <c r="K137" t="inlineStr">
        <is>
          <t>clasen</t>
        </is>
      </c>
      <c r="L137" t="inlineStr">
        <is>
          <t>julia/experiments/tnwpaper/outputs/exptl_comparison</t>
        </is>
      </c>
      <c r="M137" t="inlineStr">
        <is>
          <t>SUPERSEDED: old Sample-E h*K=0.02</t>
        </is>
      </c>
    </row>
    <row r="138">
      <c r="A138" t="b">
        <v>0</v>
      </c>
      <c r="B138" t="n">
        <v>137</v>
      </c>
      <c r="C138" t="inlineStr">
        <is>
          <t>C5</t>
        </is>
      </c>
      <c r="D138" t="inlineStr">
        <is>
          <t>styext</t>
        </is>
      </c>
      <c r="E138" t="n">
        <v>11200</v>
      </c>
      <c r="F138" t="n">
        <v>0.02</v>
      </c>
      <c r="G138" t="inlineStr">
        <is>
          <t>fenepm</t>
        </is>
      </c>
      <c r="H138" t="inlineStr">
        <is>
          <t>constant</t>
        </is>
      </c>
      <c r="I138" t="n">
        <v>0.16</v>
      </c>
      <c r="J138" t="n">
        <v>1</v>
      </c>
      <c r="K138" t="inlineStr">
        <is>
          <t>clasen</t>
        </is>
      </c>
      <c r="L138" t="inlineStr">
        <is>
          <t>julia/experiments/tnwpaper/outputs/exptl_comparison</t>
        </is>
      </c>
      <c r="M138" t="inlineStr">
        <is>
          <t>SUPERSEDED: old Sample-E h*K=0.02</t>
        </is>
      </c>
    </row>
    <row r="139">
      <c r="A139" t="b">
        <v>0</v>
      </c>
      <c r="B139" t="n">
        <v>138</v>
      </c>
      <c r="C139" t="inlineStr">
        <is>
          <t>C5</t>
        </is>
      </c>
      <c r="D139" t="inlineStr">
        <is>
          <t>styext</t>
        </is>
      </c>
      <c r="E139" t="n">
        <v>11200</v>
      </c>
      <c r="F139" t="n">
        <v>0.02</v>
      </c>
      <c r="G139" t="inlineStr">
        <is>
          <t>fenepm</t>
        </is>
      </c>
      <c r="H139" t="inlineStr">
        <is>
          <t>c2d2</t>
        </is>
      </c>
      <c r="I139" t="n">
        <v>0.16</v>
      </c>
      <c r="J139" t="n">
        <v>1</v>
      </c>
      <c r="K139" t="inlineStr">
        <is>
          <t>clasen</t>
        </is>
      </c>
      <c r="L139" t="inlineStr">
        <is>
          <t>julia/experiments/tnwpaper/outputs/exptl_comparison</t>
        </is>
      </c>
      <c r="M139" t="inlineStr">
        <is>
          <t>SUPERSEDED: old Sample-E h*K=0.02</t>
        </is>
      </c>
    </row>
    <row r="140">
      <c r="A140" t="b">
        <v>0</v>
      </c>
      <c r="B140" t="n">
        <v>139</v>
      </c>
      <c r="C140" t="inlineStr">
        <is>
          <t>C5</t>
        </is>
      </c>
      <c r="D140" t="inlineStr">
        <is>
          <t>caber</t>
        </is>
      </c>
      <c r="E140" t="n">
        <v>11200</v>
      </c>
      <c r="F140" t="n">
        <v>0.02</v>
      </c>
      <c r="G140" t="inlineStr">
        <is>
          <t>fenepm</t>
        </is>
      </c>
      <c r="H140" t="inlineStr">
        <is>
          <t>constant</t>
        </is>
      </c>
      <c r="I140" t="n">
        <v>0.16</v>
      </c>
      <c r="J140" t="inlineStr">
        <is>
          <t>[0.01, 0.03, 0.1, 0.3, 1, 3, 10, 30, 100]</t>
        </is>
      </c>
      <c r="K140" t="inlineStr">
        <is>
          <t>clasen</t>
        </is>
      </c>
      <c r="L140" t="inlineStr">
        <is>
          <t>julia/experiments/tnwpaper/outputs/exptl_comparison</t>
        </is>
      </c>
      <c r="M140" t="inlineStr">
        <is>
          <t>SUPERSEDED: old Sample-E h*K=0.02</t>
        </is>
      </c>
    </row>
    <row r="141">
      <c r="A141" t="b">
        <v>0</v>
      </c>
      <c r="B141" t="n">
        <v>140</v>
      </c>
      <c r="C141" t="inlineStr">
        <is>
          <t>C5</t>
        </is>
      </c>
      <c r="D141" t="inlineStr">
        <is>
          <t>caber</t>
        </is>
      </c>
      <c r="E141" t="n">
        <v>11200</v>
      </c>
      <c r="F141" t="n">
        <v>0.02</v>
      </c>
      <c r="G141" t="inlineStr">
        <is>
          <t>fenepm</t>
        </is>
      </c>
      <c r="H141" t="inlineStr">
        <is>
          <t>c2d2</t>
        </is>
      </c>
      <c r="I141" t="n">
        <v>0.16</v>
      </c>
      <c r="J141" t="inlineStr">
        <is>
          <t>[0.01, 0.03, 0.1, 0.3, 1, 3, 10, 30, 100]</t>
        </is>
      </c>
      <c r="K141" t="inlineStr">
        <is>
          <t>clasen</t>
        </is>
      </c>
      <c r="L141" t="inlineStr">
        <is>
          <t>julia/experiments/tnwpaper/outputs/exptl_comparison</t>
        </is>
      </c>
      <c r="M141" t="inlineStr">
        <is>
          <t>SUPERSEDED: old Sample-E h*K=0.02</t>
        </is>
      </c>
    </row>
    <row r="142">
      <c r="A142" t="b">
        <v>0</v>
      </c>
      <c r="B142" t="n">
        <v>141</v>
      </c>
      <c r="C142" t="inlineStr">
        <is>
          <t>C6</t>
        </is>
      </c>
      <c r="D142" t="inlineStr">
        <is>
          <t>styext</t>
        </is>
      </c>
      <c r="E142" t="n">
        <v>11200</v>
      </c>
      <c r="F142" t="n">
        <v>0.02</v>
      </c>
      <c r="G142" t="inlineStr">
        <is>
          <t>fenepm</t>
        </is>
      </c>
      <c r="H142" t="inlineStr">
        <is>
          <t>constant</t>
        </is>
      </c>
      <c r="I142" t="n">
        <v>0.51</v>
      </c>
      <c r="J142" t="n">
        <v>1</v>
      </c>
      <c r="K142" t="inlineStr">
        <is>
          <t>clasen</t>
        </is>
      </c>
      <c r="L142" t="inlineStr">
        <is>
          <t>julia/experiments/tnwpaper/outputs/exptl_comparison</t>
        </is>
      </c>
      <c r="M142" t="inlineStr">
        <is>
          <t>SUPERSEDED: old Sample-E h*K=0.02</t>
        </is>
      </c>
    </row>
    <row r="143">
      <c r="A143" t="b">
        <v>0</v>
      </c>
      <c r="B143" t="n">
        <v>142</v>
      </c>
      <c r="C143" t="inlineStr">
        <is>
          <t>C6</t>
        </is>
      </c>
      <c r="D143" t="inlineStr">
        <is>
          <t>styext</t>
        </is>
      </c>
      <c r="E143" t="n">
        <v>11200</v>
      </c>
      <c r="F143" t="n">
        <v>0.02</v>
      </c>
      <c r="G143" t="inlineStr">
        <is>
          <t>fenepm</t>
        </is>
      </c>
      <c r="H143" t="inlineStr">
        <is>
          <t>c2d2</t>
        </is>
      </c>
      <c r="I143" t="n">
        <v>0.51</v>
      </c>
      <c r="J143" t="n">
        <v>1</v>
      </c>
      <c r="K143" t="inlineStr">
        <is>
          <t>clasen</t>
        </is>
      </c>
      <c r="L143" t="inlineStr">
        <is>
          <t>julia/experiments/tnwpaper/outputs/exptl_comparison</t>
        </is>
      </c>
      <c r="M143" t="inlineStr">
        <is>
          <t>SUPERSEDED: old Sample-E h*K=0.02</t>
        </is>
      </c>
    </row>
    <row r="144">
      <c r="A144" t="b">
        <v>0</v>
      </c>
      <c r="B144" t="n">
        <v>143</v>
      </c>
      <c r="C144" t="inlineStr">
        <is>
          <t>C6</t>
        </is>
      </c>
      <c r="D144" t="inlineStr">
        <is>
          <t>caber</t>
        </is>
      </c>
      <c r="E144" t="n">
        <v>11200</v>
      </c>
      <c r="F144" t="n">
        <v>0.02</v>
      </c>
      <c r="G144" t="inlineStr">
        <is>
          <t>fenepm</t>
        </is>
      </c>
      <c r="H144" t="inlineStr">
        <is>
          <t>constant</t>
        </is>
      </c>
      <c r="I144" t="n">
        <v>0.51</v>
      </c>
      <c r="J144" t="inlineStr">
        <is>
          <t>[0.01, 0.03, 0.1, 0.3, 1, 3, 10, 30, 100]</t>
        </is>
      </c>
      <c r="K144" t="inlineStr">
        <is>
          <t>clasen</t>
        </is>
      </c>
      <c r="L144" t="inlineStr">
        <is>
          <t>julia/experiments/tnwpaper/outputs/exptl_comparison</t>
        </is>
      </c>
      <c r="M144" t="inlineStr">
        <is>
          <t>SUPERSEDED: old Sample-E h*K=0.02</t>
        </is>
      </c>
    </row>
    <row r="145">
      <c r="A145" t="b">
        <v>0</v>
      </c>
      <c r="B145" t="n">
        <v>144</v>
      </c>
      <c r="C145" t="inlineStr">
        <is>
          <t>C6</t>
        </is>
      </c>
      <c r="D145" t="inlineStr">
        <is>
          <t>caber</t>
        </is>
      </c>
      <c r="E145" t="n">
        <v>11200</v>
      </c>
      <c r="F145" t="n">
        <v>0.02</v>
      </c>
      <c r="G145" t="inlineStr">
        <is>
          <t>fenepm</t>
        </is>
      </c>
      <c r="H145" t="inlineStr">
        <is>
          <t>c2d2</t>
        </is>
      </c>
      <c r="I145" t="n">
        <v>0.51</v>
      </c>
      <c r="J145" t="inlineStr">
        <is>
          <t>[0.01, 0.03, 0.1, 0.3, 1, 3, 10, 30, 100]</t>
        </is>
      </c>
      <c r="K145" t="inlineStr">
        <is>
          <t>clasen</t>
        </is>
      </c>
      <c r="L145" t="inlineStr">
        <is>
          <t>julia/experiments/tnwpaper/outputs/exptl_comparison</t>
        </is>
      </c>
      <c r="M145" t="inlineStr">
        <is>
          <t>SUPERSEDED: old Sample-E h*K=0.02</t>
        </is>
      </c>
    </row>
    <row r="146">
      <c r="A146" t="b">
        <v>0</v>
      </c>
      <c r="B146" t="n">
        <v>145</v>
      </c>
      <c r="C146" t="inlineStr">
        <is>
          <t>A1</t>
        </is>
      </c>
      <c r="D146" t="inlineStr">
        <is>
          <t>styext</t>
        </is>
      </c>
      <c r="E146" t="n">
        <v>2426</v>
      </c>
      <c r="F146" t="n">
        <v>0.02</v>
      </c>
      <c r="G146" t="inlineStr">
        <is>
          <t>fenepm</t>
        </is>
      </c>
      <c r="H146" t="inlineStr">
        <is>
          <t>constant</t>
        </is>
      </c>
      <c r="I146" t="n">
        <v>0.002392</v>
      </c>
      <c r="J146" t="n">
        <v>1</v>
      </c>
      <c r="K146" t="inlineStr">
        <is>
          <t>clasen_boger</t>
        </is>
      </c>
      <c r="L146" t="inlineStr">
        <is>
          <t>julia/experiments/tnwpaper/outputs/exptl_comparison</t>
        </is>
      </c>
      <c r="M146" t="inlineStr">
        <is>
          <t>SUPERSEDED: Boger A-D c/c* geometric (use clasen_boger_km, c/c*_KM)</t>
        </is>
      </c>
    </row>
    <row r="147">
      <c r="A147" t="b">
        <v>0</v>
      </c>
      <c r="B147" t="n">
        <v>146</v>
      </c>
      <c r="C147" t="inlineStr">
        <is>
          <t>A1</t>
        </is>
      </c>
      <c r="D147" t="inlineStr">
        <is>
          <t>styext</t>
        </is>
      </c>
      <c r="E147" t="n">
        <v>2426</v>
      </c>
      <c r="F147" t="n">
        <v>0.02</v>
      </c>
      <c r="G147" t="inlineStr">
        <is>
          <t>fenepm</t>
        </is>
      </c>
      <c r="H147" t="inlineStr">
        <is>
          <t>c2d2</t>
        </is>
      </c>
      <c r="I147" t="n">
        <v>0.002392</v>
      </c>
      <c r="J147" t="n">
        <v>1</v>
      </c>
      <c r="K147" t="inlineStr">
        <is>
          <t>clasen_boger</t>
        </is>
      </c>
      <c r="L147" t="inlineStr">
        <is>
          <t>julia/experiments/tnwpaper/outputs/exptl_comparison</t>
        </is>
      </c>
      <c r="M147" t="inlineStr">
        <is>
          <t>SUPERSEDED: Boger A-D c/c* geometric (use clasen_boger_km, c/c*_KM)</t>
        </is>
      </c>
    </row>
    <row r="148">
      <c r="A148" t="b">
        <v>0</v>
      </c>
      <c r="B148" t="n">
        <v>147</v>
      </c>
      <c r="C148" t="inlineStr">
        <is>
          <t>A1</t>
        </is>
      </c>
      <c r="D148" t="inlineStr">
        <is>
          <t>caber</t>
        </is>
      </c>
      <c r="E148" t="n">
        <v>2426</v>
      </c>
      <c r="F148" t="n">
        <v>0.02</v>
      </c>
      <c r="G148" t="inlineStr">
        <is>
          <t>fenepm</t>
        </is>
      </c>
      <c r="H148" t="inlineStr">
        <is>
          <t>constant</t>
        </is>
      </c>
      <c r="I148" t="n">
        <v>0.002392</v>
      </c>
      <c r="J148" t="inlineStr">
        <is>
          <t>[0.01, 0.03, 0.1, 0.3, 1, 3, 10, 30, 100]</t>
        </is>
      </c>
      <c r="K148" t="inlineStr">
        <is>
          <t>clasen_boger</t>
        </is>
      </c>
      <c r="L148" t="inlineStr">
        <is>
          <t>julia/experiments/tnwpaper/outputs/exptl_comparison</t>
        </is>
      </c>
      <c r="M148" t="inlineStr">
        <is>
          <t>SUPERSEDED: Boger A-D c/c* geometric (use clasen_boger_km, c/c*_KM)</t>
        </is>
      </c>
    </row>
    <row r="149">
      <c r="A149" t="b">
        <v>0</v>
      </c>
      <c r="B149" t="n">
        <v>148</v>
      </c>
      <c r="C149" t="inlineStr">
        <is>
          <t>A1</t>
        </is>
      </c>
      <c r="D149" t="inlineStr">
        <is>
          <t>caber</t>
        </is>
      </c>
      <c r="E149" t="n">
        <v>2426</v>
      </c>
      <c r="F149" t="n">
        <v>0.02</v>
      </c>
      <c r="G149" t="inlineStr">
        <is>
          <t>fenepm</t>
        </is>
      </c>
      <c r="H149" t="inlineStr">
        <is>
          <t>c2d2</t>
        </is>
      </c>
      <c r="I149" t="n">
        <v>0.002392</v>
      </c>
      <c r="J149" t="inlineStr">
        <is>
          <t>[0.01, 0.03, 0.1, 0.3, 1, 3, 10, 30, 100]</t>
        </is>
      </c>
      <c r="K149" t="inlineStr">
        <is>
          <t>clasen_boger</t>
        </is>
      </c>
      <c r="L149" t="inlineStr">
        <is>
          <t>julia/experiments/tnwpaper/outputs/exptl_comparison</t>
        </is>
      </c>
      <c r="M149" t="inlineStr">
        <is>
          <t>SUPERSEDED: Boger A-D c/c* geometric (use clasen_boger_km, c/c*_KM)</t>
        </is>
      </c>
    </row>
    <row r="150">
      <c r="A150" t="b">
        <v>0</v>
      </c>
      <c r="B150" t="n">
        <v>149</v>
      </c>
      <c r="C150" t="inlineStr">
        <is>
          <t>A2</t>
        </is>
      </c>
      <c r="D150" t="inlineStr">
        <is>
          <t>styext</t>
        </is>
      </c>
      <c r="E150" t="n">
        <v>2426</v>
      </c>
      <c r="F150" t="n">
        <v>0.02</v>
      </c>
      <c r="G150" t="inlineStr">
        <is>
          <t>fenepm</t>
        </is>
      </c>
      <c r="H150" t="inlineStr">
        <is>
          <t>constant</t>
        </is>
      </c>
      <c r="I150" t="n">
        <v>0.011961</v>
      </c>
      <c r="J150" t="n">
        <v>1</v>
      </c>
      <c r="K150" t="inlineStr">
        <is>
          <t>clasen_boger</t>
        </is>
      </c>
      <c r="L150" t="inlineStr">
        <is>
          <t>julia/experiments/tnwpaper/outputs/exptl_comparison</t>
        </is>
      </c>
      <c r="M150" t="inlineStr">
        <is>
          <t>SUPERSEDED: Boger A-D c/c* geometric (use clasen_boger_km, c/c*_KM)</t>
        </is>
      </c>
    </row>
    <row r="151">
      <c r="A151" t="b">
        <v>0</v>
      </c>
      <c r="B151" t="n">
        <v>150</v>
      </c>
      <c r="C151" t="inlineStr">
        <is>
          <t>A2</t>
        </is>
      </c>
      <c r="D151" t="inlineStr">
        <is>
          <t>styext</t>
        </is>
      </c>
      <c r="E151" t="n">
        <v>2426</v>
      </c>
      <c r="F151" t="n">
        <v>0.02</v>
      </c>
      <c r="G151" t="inlineStr">
        <is>
          <t>fenepm</t>
        </is>
      </c>
      <c r="H151" t="inlineStr">
        <is>
          <t>c2d2</t>
        </is>
      </c>
      <c r="I151" t="n">
        <v>0.011961</v>
      </c>
      <c r="J151" t="n">
        <v>1</v>
      </c>
      <c r="K151" t="inlineStr">
        <is>
          <t>clasen_boger</t>
        </is>
      </c>
      <c r="L151" t="inlineStr">
        <is>
          <t>julia/experiments/tnwpaper/outputs/exptl_comparison</t>
        </is>
      </c>
      <c r="M151" t="inlineStr">
        <is>
          <t>SUPERSEDED: Boger A-D c/c* geometric (use clasen_boger_km, c/c*_KM)</t>
        </is>
      </c>
    </row>
    <row r="152">
      <c r="A152" t="b">
        <v>0</v>
      </c>
      <c r="B152" t="n">
        <v>151</v>
      </c>
      <c r="C152" t="inlineStr">
        <is>
          <t>A2</t>
        </is>
      </c>
      <c r="D152" t="inlineStr">
        <is>
          <t>caber</t>
        </is>
      </c>
      <c r="E152" t="n">
        <v>2426</v>
      </c>
      <c r="F152" t="n">
        <v>0.02</v>
      </c>
      <c r="G152" t="inlineStr">
        <is>
          <t>fenepm</t>
        </is>
      </c>
      <c r="H152" t="inlineStr">
        <is>
          <t>constant</t>
        </is>
      </c>
      <c r="I152" t="n">
        <v>0.011961</v>
      </c>
      <c r="J152" t="inlineStr">
        <is>
          <t>[0.01, 0.03, 0.1, 0.3, 1, 3, 10, 30, 100]</t>
        </is>
      </c>
      <c r="K152" t="inlineStr">
        <is>
          <t>clasen_boger</t>
        </is>
      </c>
      <c r="L152" t="inlineStr">
        <is>
          <t>julia/experiments/tnwpaper/outputs/exptl_comparison</t>
        </is>
      </c>
      <c r="M152" t="inlineStr">
        <is>
          <t>SUPERSEDED: Boger A-D c/c* geometric (use clasen_boger_km, c/c*_KM)</t>
        </is>
      </c>
    </row>
    <row r="153">
      <c r="A153" t="b">
        <v>0</v>
      </c>
      <c r="B153" t="n">
        <v>152</v>
      </c>
      <c r="C153" t="inlineStr">
        <is>
          <t>A2</t>
        </is>
      </c>
      <c r="D153" t="inlineStr">
        <is>
          <t>caber</t>
        </is>
      </c>
      <c r="E153" t="n">
        <v>2426</v>
      </c>
      <c r="F153" t="n">
        <v>0.02</v>
      </c>
      <c r="G153" t="inlineStr">
        <is>
          <t>fenepm</t>
        </is>
      </c>
      <c r="H153" t="inlineStr">
        <is>
          <t>c2d2</t>
        </is>
      </c>
      <c r="I153" t="n">
        <v>0.011961</v>
      </c>
      <c r="J153" t="inlineStr">
        <is>
          <t>[0.01, 0.03, 0.1, 0.3, 1, 3, 10, 30, 100]</t>
        </is>
      </c>
      <c r="K153" t="inlineStr">
        <is>
          <t>clasen_boger</t>
        </is>
      </c>
      <c r="L153" t="inlineStr">
        <is>
          <t>julia/experiments/tnwpaper/outputs/exptl_comparison</t>
        </is>
      </c>
      <c r="M153" t="inlineStr">
        <is>
          <t>SUPERSEDED: Boger A-D c/c* geometric (use clasen_boger_km, c/c*_KM)</t>
        </is>
      </c>
    </row>
    <row r="154">
      <c r="A154" t="b">
        <v>0</v>
      </c>
      <c r="B154" t="n">
        <v>153</v>
      </c>
      <c r="C154" t="inlineStr">
        <is>
          <t>A3</t>
        </is>
      </c>
      <c r="D154" t="inlineStr">
        <is>
          <t>styext</t>
        </is>
      </c>
      <c r="E154" t="n">
        <v>2426</v>
      </c>
      <c r="F154" t="n">
        <v>0.02</v>
      </c>
      <c r="G154" t="inlineStr">
        <is>
          <t>fenepm</t>
        </is>
      </c>
      <c r="H154" t="inlineStr">
        <is>
          <t>constant</t>
        </is>
      </c>
      <c r="I154" t="n">
        <v>0.023923</v>
      </c>
      <c r="J154" t="n">
        <v>1</v>
      </c>
      <c r="K154" t="inlineStr">
        <is>
          <t>clasen_boger</t>
        </is>
      </c>
      <c r="L154" t="inlineStr">
        <is>
          <t>julia/experiments/tnwpaper/outputs/exptl_comparison</t>
        </is>
      </c>
      <c r="M154" t="inlineStr">
        <is>
          <t>SUPERSEDED: Boger A-D c/c* geometric (use clasen_boger_km, c/c*_KM)</t>
        </is>
      </c>
    </row>
    <row r="155">
      <c r="A155" t="b">
        <v>0</v>
      </c>
      <c r="B155" t="n">
        <v>154</v>
      </c>
      <c r="C155" t="inlineStr">
        <is>
          <t>A3</t>
        </is>
      </c>
      <c r="D155" t="inlineStr">
        <is>
          <t>styext</t>
        </is>
      </c>
      <c r="E155" t="n">
        <v>2426</v>
      </c>
      <c r="F155" t="n">
        <v>0.02</v>
      </c>
      <c r="G155" t="inlineStr">
        <is>
          <t>fenepm</t>
        </is>
      </c>
      <c r="H155" t="inlineStr">
        <is>
          <t>c2d2</t>
        </is>
      </c>
      <c r="I155" t="n">
        <v>0.023923</v>
      </c>
      <c r="J155" t="n">
        <v>1</v>
      </c>
      <c r="K155" t="inlineStr">
        <is>
          <t>clasen_boger</t>
        </is>
      </c>
      <c r="L155" t="inlineStr">
        <is>
          <t>julia/experiments/tnwpaper/outputs/exptl_comparison</t>
        </is>
      </c>
      <c r="M155" t="inlineStr">
        <is>
          <t>SUPERSEDED: Boger A-D c/c* geometric (use clasen_boger_km, c/c*_KM)</t>
        </is>
      </c>
    </row>
    <row r="156">
      <c r="A156" t="b">
        <v>0</v>
      </c>
      <c r="B156" t="n">
        <v>155</v>
      </c>
      <c r="C156" t="inlineStr">
        <is>
          <t>A3</t>
        </is>
      </c>
      <c r="D156" t="inlineStr">
        <is>
          <t>caber</t>
        </is>
      </c>
      <c r="E156" t="n">
        <v>2426</v>
      </c>
      <c r="F156" t="n">
        <v>0.02</v>
      </c>
      <c r="G156" t="inlineStr">
        <is>
          <t>fenepm</t>
        </is>
      </c>
      <c r="H156" t="inlineStr">
        <is>
          <t>constant</t>
        </is>
      </c>
      <c r="I156" t="n">
        <v>0.023923</v>
      </c>
      <c r="J156" t="inlineStr">
        <is>
          <t>[0.01, 0.03, 0.1, 0.3, 1, 3, 10, 30, 100]</t>
        </is>
      </c>
      <c r="K156" t="inlineStr">
        <is>
          <t>clasen_boger</t>
        </is>
      </c>
      <c r="L156" t="inlineStr">
        <is>
          <t>julia/experiments/tnwpaper/outputs/exptl_comparison</t>
        </is>
      </c>
      <c r="M156" t="inlineStr">
        <is>
          <t>SUPERSEDED: Boger A-D c/c* geometric (use clasen_boger_km, c/c*_KM)</t>
        </is>
      </c>
    </row>
    <row r="157">
      <c r="A157" t="b">
        <v>0</v>
      </c>
      <c r="B157" t="n">
        <v>156</v>
      </c>
      <c r="C157" t="inlineStr">
        <is>
          <t>A3</t>
        </is>
      </c>
      <c r="D157" t="inlineStr">
        <is>
          <t>caber</t>
        </is>
      </c>
      <c r="E157" t="n">
        <v>2426</v>
      </c>
      <c r="F157" t="n">
        <v>0.02</v>
      </c>
      <c r="G157" t="inlineStr">
        <is>
          <t>fenepm</t>
        </is>
      </c>
      <c r="H157" t="inlineStr">
        <is>
          <t>c2d2</t>
        </is>
      </c>
      <c r="I157" t="n">
        <v>0.023923</v>
      </c>
      <c r="J157" t="inlineStr">
        <is>
          <t>[0.01, 0.03, 0.1, 0.3, 1, 3, 10, 30, 100]</t>
        </is>
      </c>
      <c r="K157" t="inlineStr">
        <is>
          <t>clasen_boger</t>
        </is>
      </c>
      <c r="L157" t="inlineStr">
        <is>
          <t>julia/experiments/tnwpaper/outputs/exptl_comparison</t>
        </is>
      </c>
      <c r="M157" t="inlineStr">
        <is>
          <t>SUPERSEDED: Boger A-D c/c* geometric (use clasen_boger_km, c/c*_KM)</t>
        </is>
      </c>
    </row>
    <row r="158">
      <c r="A158" t="b">
        <v>0</v>
      </c>
      <c r="B158" t="n">
        <v>157</v>
      </c>
      <c r="C158" t="inlineStr">
        <is>
          <t>A4</t>
        </is>
      </c>
      <c r="D158" t="inlineStr">
        <is>
          <t>styext</t>
        </is>
      </c>
      <c r="E158" t="n">
        <v>2426</v>
      </c>
      <c r="F158" t="n">
        <v>0.02</v>
      </c>
      <c r="G158" t="inlineStr">
        <is>
          <t>fenepm</t>
        </is>
      </c>
      <c r="H158" t="inlineStr">
        <is>
          <t>constant</t>
        </is>
      </c>
      <c r="I158" t="n">
        <v>0.059806</v>
      </c>
      <c r="J158" t="n">
        <v>1</v>
      </c>
      <c r="K158" t="inlineStr">
        <is>
          <t>clasen_boger</t>
        </is>
      </c>
      <c r="L158" t="inlineStr">
        <is>
          <t>julia/experiments/tnwpaper/outputs/exptl_comparison</t>
        </is>
      </c>
      <c r="M158" t="inlineStr">
        <is>
          <t>SUPERSEDED: Boger A-D c/c* geometric (use clasen_boger_km, c/c*_KM)</t>
        </is>
      </c>
    </row>
    <row r="159">
      <c r="A159" t="b">
        <v>0</v>
      </c>
      <c r="B159" t="n">
        <v>158</v>
      </c>
      <c r="C159" t="inlineStr">
        <is>
          <t>A4</t>
        </is>
      </c>
      <c r="D159" t="inlineStr">
        <is>
          <t>styext</t>
        </is>
      </c>
      <c r="E159" t="n">
        <v>2426</v>
      </c>
      <c r="F159" t="n">
        <v>0.02</v>
      </c>
      <c r="G159" t="inlineStr">
        <is>
          <t>fenepm</t>
        </is>
      </c>
      <c r="H159" t="inlineStr">
        <is>
          <t>c2d2</t>
        </is>
      </c>
      <c r="I159" t="n">
        <v>0.059806</v>
      </c>
      <c r="J159" t="n">
        <v>1</v>
      </c>
      <c r="K159" t="inlineStr">
        <is>
          <t>clasen_boger</t>
        </is>
      </c>
      <c r="L159" t="inlineStr">
        <is>
          <t>julia/experiments/tnwpaper/outputs/exptl_comparison</t>
        </is>
      </c>
      <c r="M159" t="inlineStr">
        <is>
          <t>SUPERSEDED: Boger A-D c/c* geometric (use clasen_boger_km, c/c*_KM)</t>
        </is>
      </c>
    </row>
    <row r="160">
      <c r="A160" t="b">
        <v>0</v>
      </c>
      <c r="B160" t="n">
        <v>159</v>
      </c>
      <c r="C160" t="inlineStr">
        <is>
          <t>A4</t>
        </is>
      </c>
      <c r="D160" t="inlineStr">
        <is>
          <t>caber</t>
        </is>
      </c>
      <c r="E160" t="n">
        <v>2426</v>
      </c>
      <c r="F160" t="n">
        <v>0.02</v>
      </c>
      <c r="G160" t="inlineStr">
        <is>
          <t>fenepm</t>
        </is>
      </c>
      <c r="H160" t="inlineStr">
        <is>
          <t>constant</t>
        </is>
      </c>
      <c r="I160" t="n">
        <v>0.059806</v>
      </c>
      <c r="J160" t="inlineStr">
        <is>
          <t>[0.01, 0.03, 0.1, 0.3, 1, 3, 10, 30, 100]</t>
        </is>
      </c>
      <c r="K160" t="inlineStr">
        <is>
          <t>clasen_boger</t>
        </is>
      </c>
      <c r="L160" t="inlineStr">
        <is>
          <t>julia/experiments/tnwpaper/outputs/exptl_comparison</t>
        </is>
      </c>
      <c r="M160" t="inlineStr">
        <is>
          <t>SUPERSEDED: Boger A-D c/c* geometric (use clasen_boger_km, c/c*_KM)</t>
        </is>
      </c>
    </row>
    <row r="161">
      <c r="A161" t="b">
        <v>0</v>
      </c>
      <c r="B161" t="n">
        <v>160</v>
      </c>
      <c r="C161" t="inlineStr">
        <is>
          <t>A4</t>
        </is>
      </c>
      <c r="D161" t="inlineStr">
        <is>
          <t>caber</t>
        </is>
      </c>
      <c r="E161" t="n">
        <v>2426</v>
      </c>
      <c r="F161" t="n">
        <v>0.02</v>
      </c>
      <c r="G161" t="inlineStr">
        <is>
          <t>fenepm</t>
        </is>
      </c>
      <c r="H161" t="inlineStr">
        <is>
          <t>c2d2</t>
        </is>
      </c>
      <c r="I161" t="n">
        <v>0.059806</v>
      </c>
      <c r="J161" t="inlineStr">
        <is>
          <t>[0.01, 0.03, 0.1, 0.3, 1, 3, 10, 30, 100]</t>
        </is>
      </c>
      <c r="K161" t="inlineStr">
        <is>
          <t>clasen_boger</t>
        </is>
      </c>
      <c r="L161" t="inlineStr">
        <is>
          <t>julia/experiments/tnwpaper/outputs/exptl_comparison</t>
        </is>
      </c>
      <c r="M161" t="inlineStr">
        <is>
          <t>SUPERSEDED: Boger A-D c/c* geometric (use clasen_boger_km, c/c*_KM)</t>
        </is>
      </c>
    </row>
    <row r="162">
      <c r="A162" t="b">
        <v>0</v>
      </c>
      <c r="B162" t="n">
        <v>161</v>
      </c>
      <c r="C162" t="inlineStr">
        <is>
          <t>A5</t>
        </is>
      </c>
      <c r="D162" t="inlineStr">
        <is>
          <t>styext</t>
        </is>
      </c>
      <c r="E162" t="n">
        <v>2426</v>
      </c>
      <c r="F162" t="n">
        <v>0.02</v>
      </c>
      <c r="G162" t="inlineStr">
        <is>
          <t>fenepm</t>
        </is>
      </c>
      <c r="H162" t="inlineStr">
        <is>
          <t>constant</t>
        </is>
      </c>
      <c r="I162" t="n">
        <v>0.119613</v>
      </c>
      <c r="J162" t="n">
        <v>1</v>
      </c>
      <c r="K162" t="inlineStr">
        <is>
          <t>clasen_boger</t>
        </is>
      </c>
      <c r="L162" t="inlineStr">
        <is>
          <t>julia/experiments/tnwpaper/outputs/exptl_comparison</t>
        </is>
      </c>
      <c r="M162" t="inlineStr">
        <is>
          <t>SUPERSEDED: Boger A-D c/c* geometric (use clasen_boger_km, c/c*_KM)</t>
        </is>
      </c>
    </row>
    <row r="163">
      <c r="A163" t="b">
        <v>0</v>
      </c>
      <c r="B163" t="n">
        <v>162</v>
      </c>
      <c r="C163" t="inlineStr">
        <is>
          <t>A5</t>
        </is>
      </c>
      <c r="D163" t="inlineStr">
        <is>
          <t>styext</t>
        </is>
      </c>
      <c r="E163" t="n">
        <v>2426</v>
      </c>
      <c r="F163" t="n">
        <v>0.02</v>
      </c>
      <c r="G163" t="inlineStr">
        <is>
          <t>fenepm</t>
        </is>
      </c>
      <c r="H163" t="inlineStr">
        <is>
          <t>c2d2</t>
        </is>
      </c>
      <c r="I163" t="n">
        <v>0.119613</v>
      </c>
      <c r="J163" t="n">
        <v>1</v>
      </c>
      <c r="K163" t="inlineStr">
        <is>
          <t>clasen_boger</t>
        </is>
      </c>
      <c r="L163" t="inlineStr">
        <is>
          <t>julia/experiments/tnwpaper/outputs/exptl_comparison</t>
        </is>
      </c>
      <c r="M163" t="inlineStr">
        <is>
          <t>SUPERSEDED: Boger A-D c/c* geometric (use clasen_boger_km, c/c*_KM)</t>
        </is>
      </c>
    </row>
    <row r="164">
      <c r="A164" t="b">
        <v>0</v>
      </c>
      <c r="B164" t="n">
        <v>163</v>
      </c>
      <c r="C164" t="inlineStr">
        <is>
          <t>A5</t>
        </is>
      </c>
      <c r="D164" t="inlineStr">
        <is>
          <t>caber</t>
        </is>
      </c>
      <c r="E164" t="n">
        <v>2426</v>
      </c>
      <c r="F164" t="n">
        <v>0.02</v>
      </c>
      <c r="G164" t="inlineStr">
        <is>
          <t>fenepm</t>
        </is>
      </c>
      <c r="H164" t="inlineStr">
        <is>
          <t>constant</t>
        </is>
      </c>
      <c r="I164" t="n">
        <v>0.119613</v>
      </c>
      <c r="J164" t="inlineStr">
        <is>
          <t>[0.01, 0.03, 0.1, 0.3, 1, 3, 10, 30, 100]</t>
        </is>
      </c>
      <c r="K164" t="inlineStr">
        <is>
          <t>clasen_boger</t>
        </is>
      </c>
      <c r="L164" t="inlineStr">
        <is>
          <t>julia/experiments/tnwpaper/outputs/exptl_comparison</t>
        </is>
      </c>
      <c r="M164" t="inlineStr">
        <is>
          <t>SUPERSEDED: Boger A-D c/c* geometric (use clasen_boger_km, c/c*_KM)</t>
        </is>
      </c>
    </row>
    <row r="165">
      <c r="A165" t="b">
        <v>0</v>
      </c>
      <c r="B165" t="n">
        <v>164</v>
      </c>
      <c r="C165" t="inlineStr">
        <is>
          <t>A5</t>
        </is>
      </c>
      <c r="D165" t="inlineStr">
        <is>
          <t>caber</t>
        </is>
      </c>
      <c r="E165" t="n">
        <v>2426</v>
      </c>
      <c r="F165" t="n">
        <v>0.02</v>
      </c>
      <c r="G165" t="inlineStr">
        <is>
          <t>fenepm</t>
        </is>
      </c>
      <c r="H165" t="inlineStr">
        <is>
          <t>c2d2</t>
        </is>
      </c>
      <c r="I165" t="n">
        <v>0.119613</v>
      </c>
      <c r="J165" t="inlineStr">
        <is>
          <t>[0.01, 0.03, 0.1, 0.3, 1, 3, 10, 30, 100]</t>
        </is>
      </c>
      <c r="K165" t="inlineStr">
        <is>
          <t>clasen_boger</t>
        </is>
      </c>
      <c r="L165" t="inlineStr">
        <is>
          <t>julia/experiments/tnwpaper/outputs/exptl_comparison</t>
        </is>
      </c>
      <c r="M165" t="inlineStr">
        <is>
          <t>SUPERSEDED: Boger A-D c/c* geometric (use clasen_boger_km, c/c*_KM)</t>
        </is>
      </c>
    </row>
    <row r="166">
      <c r="A166" t="b">
        <v>0</v>
      </c>
      <c r="B166" t="n">
        <v>165</v>
      </c>
      <c r="C166" t="inlineStr">
        <is>
          <t>B1</t>
        </is>
      </c>
      <c r="D166" t="inlineStr">
        <is>
          <t>styext</t>
        </is>
      </c>
      <c r="E166" t="n">
        <v>3774</v>
      </c>
      <c r="F166" t="n">
        <v>0.02</v>
      </c>
      <c r="G166" t="inlineStr">
        <is>
          <t>fenepm</t>
        </is>
      </c>
      <c r="H166" t="inlineStr">
        <is>
          <t>constant</t>
        </is>
      </c>
      <c r="I166" t="n">
        <v>0.001313</v>
      </c>
      <c r="J166" t="n">
        <v>1</v>
      </c>
      <c r="K166" t="inlineStr">
        <is>
          <t>clasen_boger</t>
        </is>
      </c>
      <c r="L166" t="inlineStr">
        <is>
          <t>julia/experiments/tnwpaper/outputs/exptl_comparison</t>
        </is>
      </c>
      <c r="M166" t="inlineStr">
        <is>
          <t>SUPERSEDED: Boger A-D c/c* geometric (use clasen_boger_km, c/c*_KM)</t>
        </is>
      </c>
    </row>
    <row r="167">
      <c r="A167" t="b">
        <v>0</v>
      </c>
      <c r="B167" t="n">
        <v>166</v>
      </c>
      <c r="C167" t="inlineStr">
        <is>
          <t>B1</t>
        </is>
      </c>
      <c r="D167" t="inlineStr">
        <is>
          <t>styext</t>
        </is>
      </c>
      <c r="E167" t="n">
        <v>3774</v>
      </c>
      <c r="F167" t="n">
        <v>0.02</v>
      </c>
      <c r="G167" t="inlineStr">
        <is>
          <t>fenepm</t>
        </is>
      </c>
      <c r="H167" t="inlineStr">
        <is>
          <t>c2d2</t>
        </is>
      </c>
      <c r="I167" t="n">
        <v>0.001313</v>
      </c>
      <c r="J167" t="n">
        <v>1</v>
      </c>
      <c r="K167" t="inlineStr">
        <is>
          <t>clasen_boger</t>
        </is>
      </c>
      <c r="L167" t="inlineStr">
        <is>
          <t>julia/experiments/tnwpaper/outputs/exptl_comparison</t>
        </is>
      </c>
      <c r="M167" t="inlineStr">
        <is>
          <t>SUPERSEDED: Boger A-D c/c* geometric (use clasen_boger_km, c/c*_KM)</t>
        </is>
      </c>
    </row>
    <row r="168">
      <c r="A168" t="b">
        <v>0</v>
      </c>
      <c r="B168" t="n">
        <v>167</v>
      </c>
      <c r="C168" t="inlineStr">
        <is>
          <t>B1</t>
        </is>
      </c>
      <c r="D168" t="inlineStr">
        <is>
          <t>caber</t>
        </is>
      </c>
      <c r="E168" t="n">
        <v>3774</v>
      </c>
      <c r="F168" t="n">
        <v>0.02</v>
      </c>
      <c r="G168" t="inlineStr">
        <is>
          <t>fenepm</t>
        </is>
      </c>
      <c r="H168" t="inlineStr">
        <is>
          <t>constant</t>
        </is>
      </c>
      <c r="I168" t="n">
        <v>0.001313</v>
      </c>
      <c r="J168" t="inlineStr">
        <is>
          <t>[0.01, 0.03, 0.1, 0.3, 1, 3, 10, 30, 100]</t>
        </is>
      </c>
      <c r="K168" t="inlineStr">
        <is>
          <t>clasen_boger</t>
        </is>
      </c>
      <c r="L168" t="inlineStr">
        <is>
          <t>julia/experiments/tnwpaper/outputs/exptl_comparison</t>
        </is>
      </c>
      <c r="M168" t="inlineStr">
        <is>
          <t>SUPERSEDED: Boger A-D c/c* geometric (use clasen_boger_km, c/c*_KM)</t>
        </is>
      </c>
    </row>
    <row r="169">
      <c r="A169" t="b">
        <v>0</v>
      </c>
      <c r="B169" t="n">
        <v>168</v>
      </c>
      <c r="C169" t="inlineStr">
        <is>
          <t>B1</t>
        </is>
      </c>
      <c r="D169" t="inlineStr">
        <is>
          <t>caber</t>
        </is>
      </c>
      <c r="E169" t="n">
        <v>3774</v>
      </c>
      <c r="F169" t="n">
        <v>0.02</v>
      </c>
      <c r="G169" t="inlineStr">
        <is>
          <t>fenepm</t>
        </is>
      </c>
      <c r="H169" t="inlineStr">
        <is>
          <t>c2d2</t>
        </is>
      </c>
      <c r="I169" t="n">
        <v>0.001313</v>
      </c>
      <c r="J169" t="inlineStr">
        <is>
          <t>[0.01, 0.03, 0.1, 0.3, 1, 3, 10, 30, 100]</t>
        </is>
      </c>
      <c r="K169" t="inlineStr">
        <is>
          <t>clasen_boger</t>
        </is>
      </c>
      <c r="L169" t="inlineStr">
        <is>
          <t>julia/experiments/tnwpaper/outputs/exptl_comparison</t>
        </is>
      </c>
      <c r="M169" t="inlineStr">
        <is>
          <t>SUPERSEDED: Boger A-D c/c* geometric (use clasen_boger_km, c/c*_KM)</t>
        </is>
      </c>
    </row>
    <row r="170">
      <c r="A170" t="b">
        <v>0</v>
      </c>
      <c r="B170" t="n">
        <v>169</v>
      </c>
      <c r="C170" t="inlineStr">
        <is>
          <t>B2</t>
        </is>
      </c>
      <c r="D170" t="inlineStr">
        <is>
          <t>styext</t>
        </is>
      </c>
      <c r="E170" t="n">
        <v>3774</v>
      </c>
      <c r="F170" t="n">
        <v>0.02</v>
      </c>
      <c r="G170" t="inlineStr">
        <is>
          <t>fenepm</t>
        </is>
      </c>
      <c r="H170" t="inlineStr">
        <is>
          <t>constant</t>
        </is>
      </c>
      <c r="I170" t="n">
        <v>0.002238</v>
      </c>
      <c r="J170" t="n">
        <v>1</v>
      </c>
      <c r="K170" t="inlineStr">
        <is>
          <t>clasen_boger</t>
        </is>
      </c>
      <c r="L170" t="inlineStr">
        <is>
          <t>julia/experiments/tnwpaper/outputs/exptl_comparison</t>
        </is>
      </c>
      <c r="M170" t="inlineStr">
        <is>
          <t>SUPERSEDED: Boger A-D c/c* geometric (use clasen_boger_km, c/c*_KM)</t>
        </is>
      </c>
    </row>
    <row r="171">
      <c r="A171" t="b">
        <v>0</v>
      </c>
      <c r="B171" t="n">
        <v>170</v>
      </c>
      <c r="C171" t="inlineStr">
        <is>
          <t>B2</t>
        </is>
      </c>
      <c r="D171" t="inlineStr">
        <is>
          <t>styext</t>
        </is>
      </c>
      <c r="E171" t="n">
        <v>3774</v>
      </c>
      <c r="F171" t="n">
        <v>0.02</v>
      </c>
      <c r="G171" t="inlineStr">
        <is>
          <t>fenepm</t>
        </is>
      </c>
      <c r="H171" t="inlineStr">
        <is>
          <t>c2d2</t>
        </is>
      </c>
      <c r="I171" t="n">
        <v>0.002238</v>
      </c>
      <c r="J171" t="n">
        <v>1</v>
      </c>
      <c r="K171" t="inlineStr">
        <is>
          <t>clasen_boger</t>
        </is>
      </c>
      <c r="L171" t="inlineStr">
        <is>
          <t>julia/experiments/tnwpaper/outputs/exptl_comparison</t>
        </is>
      </c>
      <c r="M171" t="inlineStr">
        <is>
          <t>SUPERSEDED: Boger A-D c/c* geometric (use clasen_boger_km, c/c*_KM)</t>
        </is>
      </c>
    </row>
    <row r="172">
      <c r="A172" t="b">
        <v>0</v>
      </c>
      <c r="B172" t="n">
        <v>171</v>
      </c>
      <c r="C172" t="inlineStr">
        <is>
          <t>B2</t>
        </is>
      </c>
      <c r="D172" t="inlineStr">
        <is>
          <t>caber</t>
        </is>
      </c>
      <c r="E172" t="n">
        <v>3774</v>
      </c>
      <c r="F172" t="n">
        <v>0.02</v>
      </c>
      <c r="G172" t="inlineStr">
        <is>
          <t>fenepm</t>
        </is>
      </c>
      <c r="H172" t="inlineStr">
        <is>
          <t>constant</t>
        </is>
      </c>
      <c r="I172" t="n">
        <v>0.002238</v>
      </c>
      <c r="J172" t="inlineStr">
        <is>
          <t>[0.01, 0.03, 0.1, 0.3, 1, 3, 10, 30, 100]</t>
        </is>
      </c>
      <c r="K172" t="inlineStr">
        <is>
          <t>clasen_boger</t>
        </is>
      </c>
      <c r="L172" t="inlineStr">
        <is>
          <t>julia/experiments/tnwpaper/outputs/exptl_comparison</t>
        </is>
      </c>
      <c r="M172" t="inlineStr">
        <is>
          <t>SUPERSEDED: Boger A-D c/c* geometric (use clasen_boger_km, c/c*_KM)</t>
        </is>
      </c>
    </row>
    <row r="173">
      <c r="A173" t="b">
        <v>0</v>
      </c>
      <c r="B173" t="n">
        <v>172</v>
      </c>
      <c r="C173" t="inlineStr">
        <is>
          <t>B2</t>
        </is>
      </c>
      <c r="D173" t="inlineStr">
        <is>
          <t>caber</t>
        </is>
      </c>
      <c r="E173" t="n">
        <v>3774</v>
      </c>
      <c r="F173" t="n">
        <v>0.02</v>
      </c>
      <c r="G173" t="inlineStr">
        <is>
          <t>fenepm</t>
        </is>
      </c>
      <c r="H173" t="inlineStr">
        <is>
          <t>c2d2</t>
        </is>
      </c>
      <c r="I173" t="n">
        <v>0.002238</v>
      </c>
      <c r="J173" t="inlineStr">
        <is>
          <t>[0.01, 0.03, 0.1, 0.3, 1, 3, 10, 30, 100]</t>
        </is>
      </c>
      <c r="K173" t="inlineStr">
        <is>
          <t>clasen_boger</t>
        </is>
      </c>
      <c r="L173" t="inlineStr">
        <is>
          <t>julia/experiments/tnwpaper/outputs/exptl_comparison</t>
        </is>
      </c>
      <c r="M173" t="inlineStr">
        <is>
          <t>SUPERSEDED: Boger A-D c/c* geometric (use clasen_boger_km, c/c*_KM)</t>
        </is>
      </c>
    </row>
    <row r="174">
      <c r="A174" t="b">
        <v>0</v>
      </c>
      <c r="B174" t="n">
        <v>173</v>
      </c>
      <c r="C174" t="inlineStr">
        <is>
          <t>B3</t>
        </is>
      </c>
      <c r="D174" t="inlineStr">
        <is>
          <t>styext</t>
        </is>
      </c>
      <c r="E174" t="n">
        <v>3774</v>
      </c>
      <c r="F174" t="n">
        <v>0.02</v>
      </c>
      <c r="G174" t="inlineStr">
        <is>
          <t>fenepm</t>
        </is>
      </c>
      <c r="H174" t="inlineStr">
        <is>
          <t>constant</t>
        </is>
      </c>
      <c r="I174" t="n">
        <v>0.004177</v>
      </c>
      <c r="J174" t="n">
        <v>1</v>
      </c>
      <c r="K174" t="inlineStr">
        <is>
          <t>clasen_boger</t>
        </is>
      </c>
      <c r="L174" t="inlineStr">
        <is>
          <t>julia/experiments/tnwpaper/outputs/exptl_comparison</t>
        </is>
      </c>
      <c r="M174" t="inlineStr">
        <is>
          <t>SUPERSEDED: Boger A-D c/c* geometric (use clasen_boger_km, c/c*_KM)</t>
        </is>
      </c>
    </row>
    <row r="175">
      <c r="A175" t="b">
        <v>0</v>
      </c>
      <c r="B175" t="n">
        <v>174</v>
      </c>
      <c r="C175" t="inlineStr">
        <is>
          <t>B3</t>
        </is>
      </c>
      <c r="D175" t="inlineStr">
        <is>
          <t>styext</t>
        </is>
      </c>
      <c r="E175" t="n">
        <v>3774</v>
      </c>
      <c r="F175" t="n">
        <v>0.02</v>
      </c>
      <c r="G175" t="inlineStr">
        <is>
          <t>fenepm</t>
        </is>
      </c>
      <c r="H175" t="inlineStr">
        <is>
          <t>c2d2</t>
        </is>
      </c>
      <c r="I175" t="n">
        <v>0.004177</v>
      </c>
      <c r="J175" t="n">
        <v>1</v>
      </c>
      <c r="K175" t="inlineStr">
        <is>
          <t>clasen_boger</t>
        </is>
      </c>
      <c r="L175" t="inlineStr">
        <is>
          <t>julia/experiments/tnwpaper/outputs/exptl_comparison</t>
        </is>
      </c>
      <c r="M175" t="inlineStr">
        <is>
          <t>SUPERSEDED: Boger A-D c/c* geometric (use clasen_boger_km, c/c*_KM)</t>
        </is>
      </c>
    </row>
    <row r="176">
      <c r="A176" t="b">
        <v>0</v>
      </c>
      <c r="B176" t="n">
        <v>175</v>
      </c>
      <c r="C176" t="inlineStr">
        <is>
          <t>B3</t>
        </is>
      </c>
      <c r="D176" t="inlineStr">
        <is>
          <t>caber</t>
        </is>
      </c>
      <c r="E176" t="n">
        <v>3774</v>
      </c>
      <c r="F176" t="n">
        <v>0.02</v>
      </c>
      <c r="G176" t="inlineStr">
        <is>
          <t>fenepm</t>
        </is>
      </c>
      <c r="H176" t="inlineStr">
        <is>
          <t>constant</t>
        </is>
      </c>
      <c r="I176" t="n">
        <v>0.004177</v>
      </c>
      <c r="J176" t="inlineStr">
        <is>
          <t>[0.01, 0.03, 0.1, 0.3, 1, 3, 10, 30, 100]</t>
        </is>
      </c>
      <c r="K176" t="inlineStr">
        <is>
          <t>clasen_boger</t>
        </is>
      </c>
      <c r="L176" t="inlineStr">
        <is>
          <t>julia/experiments/tnwpaper/outputs/exptl_comparison</t>
        </is>
      </c>
      <c r="M176" t="inlineStr">
        <is>
          <t>SUPERSEDED: Boger A-D c/c* geometric (use clasen_boger_km, c/c*_KM)</t>
        </is>
      </c>
    </row>
    <row r="177">
      <c r="A177" t="b">
        <v>0</v>
      </c>
      <c r="B177" t="n">
        <v>176</v>
      </c>
      <c r="C177" t="inlineStr">
        <is>
          <t>B3</t>
        </is>
      </c>
      <c r="D177" t="inlineStr">
        <is>
          <t>caber</t>
        </is>
      </c>
      <c r="E177" t="n">
        <v>3774</v>
      </c>
      <c r="F177" t="n">
        <v>0.02</v>
      </c>
      <c r="G177" t="inlineStr">
        <is>
          <t>fenepm</t>
        </is>
      </c>
      <c r="H177" t="inlineStr">
        <is>
          <t>c2d2</t>
        </is>
      </c>
      <c r="I177" t="n">
        <v>0.004177</v>
      </c>
      <c r="J177" t="inlineStr">
        <is>
          <t>[0.01, 0.03, 0.1, 0.3, 1, 3, 10, 30, 100]</t>
        </is>
      </c>
      <c r="K177" t="inlineStr">
        <is>
          <t>clasen_boger</t>
        </is>
      </c>
      <c r="L177" t="inlineStr">
        <is>
          <t>julia/experiments/tnwpaper/outputs/exptl_comparison</t>
        </is>
      </c>
      <c r="M177" t="inlineStr">
        <is>
          <t>SUPERSEDED: Boger A-D c/c* geometric (use clasen_boger_km, c/c*_KM)</t>
        </is>
      </c>
    </row>
    <row r="178">
      <c r="A178" t="b">
        <v>0</v>
      </c>
      <c r="B178" t="n">
        <v>177</v>
      </c>
      <c r="C178" t="inlineStr">
        <is>
          <t>B4</t>
        </is>
      </c>
      <c r="D178" t="inlineStr">
        <is>
          <t>styext</t>
        </is>
      </c>
      <c r="E178" t="n">
        <v>3774</v>
      </c>
      <c r="F178" t="n">
        <v>0.02</v>
      </c>
      <c r="G178" t="inlineStr">
        <is>
          <t>fenepm</t>
        </is>
      </c>
      <c r="H178" t="inlineStr">
        <is>
          <t>constant</t>
        </is>
      </c>
      <c r="I178" t="n">
        <v>0.007459</v>
      </c>
      <c r="J178" t="n">
        <v>1</v>
      </c>
      <c r="K178" t="inlineStr">
        <is>
          <t>clasen_boger</t>
        </is>
      </c>
      <c r="L178" t="inlineStr">
        <is>
          <t>julia/experiments/tnwpaper/outputs/exptl_comparison</t>
        </is>
      </c>
      <c r="M178" t="inlineStr">
        <is>
          <t>SUPERSEDED: Boger A-D c/c* geometric (use clasen_boger_km, c/c*_KM)</t>
        </is>
      </c>
    </row>
    <row r="179">
      <c r="A179" t="b">
        <v>0</v>
      </c>
      <c r="B179" t="n">
        <v>178</v>
      </c>
      <c r="C179" t="inlineStr">
        <is>
          <t>B4</t>
        </is>
      </c>
      <c r="D179" t="inlineStr">
        <is>
          <t>styext</t>
        </is>
      </c>
      <c r="E179" t="n">
        <v>3774</v>
      </c>
      <c r="F179" t="n">
        <v>0.02</v>
      </c>
      <c r="G179" t="inlineStr">
        <is>
          <t>fenepm</t>
        </is>
      </c>
      <c r="H179" t="inlineStr">
        <is>
          <t>c2d2</t>
        </is>
      </c>
      <c r="I179" t="n">
        <v>0.007459</v>
      </c>
      <c r="J179" t="n">
        <v>1</v>
      </c>
      <c r="K179" t="inlineStr">
        <is>
          <t>clasen_boger</t>
        </is>
      </c>
      <c r="L179" t="inlineStr">
        <is>
          <t>julia/experiments/tnwpaper/outputs/exptl_comparison</t>
        </is>
      </c>
      <c r="M179" t="inlineStr">
        <is>
          <t>SUPERSEDED: Boger A-D c/c* geometric (use clasen_boger_km, c/c*_KM)</t>
        </is>
      </c>
    </row>
    <row r="180">
      <c r="A180" t="b">
        <v>0</v>
      </c>
      <c r="B180" t="n">
        <v>179</v>
      </c>
      <c r="C180" t="inlineStr">
        <is>
          <t>B4</t>
        </is>
      </c>
      <c r="D180" t="inlineStr">
        <is>
          <t>caber</t>
        </is>
      </c>
      <c r="E180" t="n">
        <v>3774</v>
      </c>
      <c r="F180" t="n">
        <v>0.02</v>
      </c>
      <c r="G180" t="inlineStr">
        <is>
          <t>fenepm</t>
        </is>
      </c>
      <c r="H180" t="inlineStr">
        <is>
          <t>constant</t>
        </is>
      </c>
      <c r="I180" t="n">
        <v>0.007459</v>
      </c>
      <c r="J180" t="inlineStr">
        <is>
          <t>[0.01, 0.03, 0.1, 0.3, 1, 3, 10, 30, 100]</t>
        </is>
      </c>
      <c r="K180" t="inlineStr">
        <is>
          <t>clasen_boger</t>
        </is>
      </c>
      <c r="L180" t="inlineStr">
        <is>
          <t>julia/experiments/tnwpaper/outputs/exptl_comparison</t>
        </is>
      </c>
      <c r="M180" t="inlineStr">
        <is>
          <t>SUPERSEDED: Boger A-D c/c* geometric (use clasen_boger_km, c/c*_KM)</t>
        </is>
      </c>
    </row>
    <row r="181">
      <c r="A181" t="b">
        <v>0</v>
      </c>
      <c r="B181" t="n">
        <v>180</v>
      </c>
      <c r="C181" t="inlineStr">
        <is>
          <t>B4</t>
        </is>
      </c>
      <c r="D181" t="inlineStr">
        <is>
          <t>caber</t>
        </is>
      </c>
      <c r="E181" t="n">
        <v>3774</v>
      </c>
      <c r="F181" t="n">
        <v>0.02</v>
      </c>
      <c r="G181" t="inlineStr">
        <is>
          <t>fenepm</t>
        </is>
      </c>
      <c r="H181" t="inlineStr">
        <is>
          <t>c2d2</t>
        </is>
      </c>
      <c r="I181" t="n">
        <v>0.007459</v>
      </c>
      <c r="J181" t="inlineStr">
        <is>
          <t>[0.01, 0.03, 0.1, 0.3, 1, 3, 10, 30, 100]</t>
        </is>
      </c>
      <c r="K181" t="inlineStr">
        <is>
          <t>clasen_boger</t>
        </is>
      </c>
      <c r="L181" t="inlineStr">
        <is>
          <t>julia/experiments/tnwpaper/outputs/exptl_comparison</t>
        </is>
      </c>
      <c r="M181" t="inlineStr">
        <is>
          <t>SUPERSEDED: Boger A-D c/c* geometric (use clasen_boger_km, c/c*_KM)</t>
        </is>
      </c>
    </row>
    <row r="182">
      <c r="A182" t="b">
        <v>0</v>
      </c>
      <c r="B182" t="n">
        <v>181</v>
      </c>
      <c r="C182" t="inlineStr">
        <is>
          <t>B5</t>
        </is>
      </c>
      <c r="D182" t="inlineStr">
        <is>
          <t>styext</t>
        </is>
      </c>
      <c r="E182" t="n">
        <v>3774</v>
      </c>
      <c r="F182" t="n">
        <v>0.02</v>
      </c>
      <c r="G182" t="inlineStr">
        <is>
          <t>fenepm</t>
        </is>
      </c>
      <c r="H182" t="inlineStr">
        <is>
          <t>constant</t>
        </is>
      </c>
      <c r="I182" t="n">
        <v>0.013128</v>
      </c>
      <c r="J182" t="n">
        <v>1</v>
      </c>
      <c r="K182" t="inlineStr">
        <is>
          <t>clasen_boger</t>
        </is>
      </c>
      <c r="L182" t="inlineStr">
        <is>
          <t>julia/experiments/tnwpaper/outputs/exptl_comparison</t>
        </is>
      </c>
      <c r="M182" t="inlineStr">
        <is>
          <t>SUPERSEDED: Boger A-D c/c* geometric (use clasen_boger_km, c/c*_KM)</t>
        </is>
      </c>
    </row>
    <row r="183">
      <c r="A183" t="b">
        <v>0</v>
      </c>
      <c r="B183" t="n">
        <v>182</v>
      </c>
      <c r="C183" t="inlineStr">
        <is>
          <t>B5</t>
        </is>
      </c>
      <c r="D183" t="inlineStr">
        <is>
          <t>styext</t>
        </is>
      </c>
      <c r="E183" t="n">
        <v>3774</v>
      </c>
      <c r="F183" t="n">
        <v>0.02</v>
      </c>
      <c r="G183" t="inlineStr">
        <is>
          <t>fenepm</t>
        </is>
      </c>
      <c r="H183" t="inlineStr">
        <is>
          <t>c2d2</t>
        </is>
      </c>
      <c r="I183" t="n">
        <v>0.013128</v>
      </c>
      <c r="J183" t="n">
        <v>1</v>
      </c>
      <c r="K183" t="inlineStr">
        <is>
          <t>clasen_boger</t>
        </is>
      </c>
      <c r="L183" t="inlineStr">
        <is>
          <t>julia/experiments/tnwpaper/outputs/exptl_comparison</t>
        </is>
      </c>
      <c r="M183" t="inlineStr">
        <is>
          <t>SUPERSEDED: Boger A-D c/c* geometric (use clasen_boger_km, c/c*_KM)</t>
        </is>
      </c>
    </row>
    <row r="184">
      <c r="A184" t="b">
        <v>0</v>
      </c>
      <c r="B184" t="n">
        <v>183</v>
      </c>
      <c r="C184" t="inlineStr">
        <is>
          <t>B5</t>
        </is>
      </c>
      <c r="D184" t="inlineStr">
        <is>
          <t>caber</t>
        </is>
      </c>
      <c r="E184" t="n">
        <v>3774</v>
      </c>
      <c r="F184" t="n">
        <v>0.02</v>
      </c>
      <c r="G184" t="inlineStr">
        <is>
          <t>fenepm</t>
        </is>
      </c>
      <c r="H184" t="inlineStr">
        <is>
          <t>constant</t>
        </is>
      </c>
      <c r="I184" t="n">
        <v>0.013128</v>
      </c>
      <c r="J184" t="inlineStr">
        <is>
          <t>[0.01, 0.03, 0.1, 0.3, 1, 3, 10, 30, 100]</t>
        </is>
      </c>
      <c r="K184" t="inlineStr">
        <is>
          <t>clasen_boger</t>
        </is>
      </c>
      <c r="L184" t="inlineStr">
        <is>
          <t>julia/experiments/tnwpaper/outputs/exptl_comparison</t>
        </is>
      </c>
      <c r="M184" t="inlineStr">
        <is>
          <t>SUPERSEDED: Boger A-D c/c* geometric (use clasen_boger_km, c/c*_KM)</t>
        </is>
      </c>
    </row>
    <row r="185">
      <c r="A185" t="b">
        <v>0</v>
      </c>
      <c r="B185" t="n">
        <v>184</v>
      </c>
      <c r="C185" t="inlineStr">
        <is>
          <t>B5</t>
        </is>
      </c>
      <c r="D185" t="inlineStr">
        <is>
          <t>caber</t>
        </is>
      </c>
      <c r="E185" t="n">
        <v>3774</v>
      </c>
      <c r="F185" t="n">
        <v>0.02</v>
      </c>
      <c r="G185" t="inlineStr">
        <is>
          <t>fenepm</t>
        </is>
      </c>
      <c r="H185" t="inlineStr">
        <is>
          <t>c2d2</t>
        </is>
      </c>
      <c r="I185" t="n">
        <v>0.013128</v>
      </c>
      <c r="J185" t="inlineStr">
        <is>
          <t>[0.01, 0.03, 0.1, 0.3, 1, 3, 10, 30, 100]</t>
        </is>
      </c>
      <c r="K185" t="inlineStr">
        <is>
          <t>clasen_boger</t>
        </is>
      </c>
      <c r="L185" t="inlineStr">
        <is>
          <t>julia/experiments/tnwpaper/outputs/exptl_comparison</t>
        </is>
      </c>
      <c r="M185" t="inlineStr">
        <is>
          <t>SUPERSEDED: Boger A-D c/c* geometric (use clasen_boger_km, c/c*_KM)</t>
        </is>
      </c>
    </row>
    <row r="186">
      <c r="A186" t="b">
        <v>0</v>
      </c>
      <c r="B186" t="n">
        <v>185</v>
      </c>
      <c r="C186" t="inlineStr">
        <is>
          <t>B6</t>
        </is>
      </c>
      <c r="D186" t="inlineStr">
        <is>
          <t>styext</t>
        </is>
      </c>
      <c r="E186" t="n">
        <v>3774</v>
      </c>
      <c r="F186" t="n">
        <v>0.02</v>
      </c>
      <c r="G186" t="inlineStr">
        <is>
          <t>fenepm</t>
        </is>
      </c>
      <c r="H186" t="inlineStr">
        <is>
          <t>constant</t>
        </is>
      </c>
      <c r="I186" t="n">
        <v>0.023571</v>
      </c>
      <c r="J186" t="n">
        <v>1</v>
      </c>
      <c r="K186" t="inlineStr">
        <is>
          <t>clasen_boger</t>
        </is>
      </c>
      <c r="L186" t="inlineStr">
        <is>
          <t>julia/experiments/tnwpaper/outputs/exptl_comparison</t>
        </is>
      </c>
      <c r="M186" t="inlineStr">
        <is>
          <t>SUPERSEDED: Boger A-D c/c* geometric (use clasen_boger_km, c/c*_KM)</t>
        </is>
      </c>
    </row>
    <row r="187">
      <c r="A187" t="b">
        <v>0</v>
      </c>
      <c r="B187" t="n">
        <v>186</v>
      </c>
      <c r="C187" t="inlineStr">
        <is>
          <t>B6</t>
        </is>
      </c>
      <c r="D187" t="inlineStr">
        <is>
          <t>styext</t>
        </is>
      </c>
      <c r="E187" t="n">
        <v>3774</v>
      </c>
      <c r="F187" t="n">
        <v>0.02</v>
      </c>
      <c r="G187" t="inlineStr">
        <is>
          <t>fenepm</t>
        </is>
      </c>
      <c r="H187" t="inlineStr">
        <is>
          <t>c2d2</t>
        </is>
      </c>
      <c r="I187" t="n">
        <v>0.023571</v>
      </c>
      <c r="J187" t="n">
        <v>1</v>
      </c>
      <c r="K187" t="inlineStr">
        <is>
          <t>clasen_boger</t>
        </is>
      </c>
      <c r="L187" t="inlineStr">
        <is>
          <t>julia/experiments/tnwpaper/outputs/exptl_comparison</t>
        </is>
      </c>
      <c r="M187" t="inlineStr">
        <is>
          <t>SUPERSEDED: Boger A-D c/c* geometric (use clasen_boger_km, c/c*_KM)</t>
        </is>
      </c>
    </row>
    <row r="188">
      <c r="A188" t="b">
        <v>0</v>
      </c>
      <c r="B188" t="n">
        <v>187</v>
      </c>
      <c r="C188" t="inlineStr">
        <is>
          <t>B6</t>
        </is>
      </c>
      <c r="D188" t="inlineStr">
        <is>
          <t>caber</t>
        </is>
      </c>
      <c r="E188" t="n">
        <v>3774</v>
      </c>
      <c r="F188" t="n">
        <v>0.02</v>
      </c>
      <c r="G188" t="inlineStr">
        <is>
          <t>fenepm</t>
        </is>
      </c>
      <c r="H188" t="inlineStr">
        <is>
          <t>constant</t>
        </is>
      </c>
      <c r="I188" t="n">
        <v>0.023571</v>
      </c>
      <c r="J188" t="inlineStr">
        <is>
          <t>[0.01, 0.03, 0.1, 0.3, 1, 3, 10, 30, 100]</t>
        </is>
      </c>
      <c r="K188" t="inlineStr">
        <is>
          <t>clasen_boger</t>
        </is>
      </c>
      <c r="L188" t="inlineStr">
        <is>
          <t>julia/experiments/tnwpaper/outputs/exptl_comparison</t>
        </is>
      </c>
      <c r="M188" t="inlineStr">
        <is>
          <t>SUPERSEDED: Boger A-D c/c* geometric (use clasen_boger_km, c/c*_KM)</t>
        </is>
      </c>
    </row>
    <row r="189">
      <c r="A189" t="b">
        <v>0</v>
      </c>
      <c r="B189" t="n">
        <v>188</v>
      </c>
      <c r="C189" t="inlineStr">
        <is>
          <t>B6</t>
        </is>
      </c>
      <c r="D189" t="inlineStr">
        <is>
          <t>caber</t>
        </is>
      </c>
      <c r="E189" t="n">
        <v>3774</v>
      </c>
      <c r="F189" t="n">
        <v>0.02</v>
      </c>
      <c r="G189" t="inlineStr">
        <is>
          <t>fenepm</t>
        </is>
      </c>
      <c r="H189" t="inlineStr">
        <is>
          <t>c2d2</t>
        </is>
      </c>
      <c r="I189" t="n">
        <v>0.023571</v>
      </c>
      <c r="J189" t="inlineStr">
        <is>
          <t>[0.01, 0.03, 0.1, 0.3, 1, 3, 10, 30, 100]</t>
        </is>
      </c>
      <c r="K189" t="inlineStr">
        <is>
          <t>clasen_boger</t>
        </is>
      </c>
      <c r="L189" t="inlineStr">
        <is>
          <t>julia/experiments/tnwpaper/outputs/exptl_comparison</t>
        </is>
      </c>
      <c r="M189" t="inlineStr">
        <is>
          <t>SUPERSEDED: Boger A-D c/c* geometric (use clasen_boger_km, c/c*_KM)</t>
        </is>
      </c>
    </row>
    <row r="190">
      <c r="A190" t="b">
        <v>0</v>
      </c>
      <c r="B190" t="n">
        <v>189</v>
      </c>
      <c r="C190" t="inlineStr">
        <is>
          <t>B7</t>
        </is>
      </c>
      <c r="D190" t="inlineStr">
        <is>
          <t>styext</t>
        </is>
      </c>
      <c r="E190" t="n">
        <v>3774</v>
      </c>
      <c r="F190" t="n">
        <v>0.02</v>
      </c>
      <c r="G190" t="inlineStr">
        <is>
          <t>fenepm</t>
        </is>
      </c>
      <c r="H190" t="inlineStr">
        <is>
          <t>constant</t>
        </is>
      </c>
      <c r="I190" t="n">
        <v>0.042965</v>
      </c>
      <c r="J190" t="n">
        <v>1</v>
      </c>
      <c r="K190" t="inlineStr">
        <is>
          <t>clasen_boger</t>
        </is>
      </c>
      <c r="L190" t="inlineStr">
        <is>
          <t>julia/experiments/tnwpaper/outputs/exptl_comparison</t>
        </is>
      </c>
      <c r="M190" t="inlineStr">
        <is>
          <t>SUPERSEDED: Boger A-D c/c* geometric (use clasen_boger_km, c/c*_KM)</t>
        </is>
      </c>
    </row>
    <row r="191">
      <c r="A191" t="b">
        <v>0</v>
      </c>
      <c r="B191" t="n">
        <v>190</v>
      </c>
      <c r="C191" t="inlineStr">
        <is>
          <t>B7</t>
        </is>
      </c>
      <c r="D191" t="inlineStr">
        <is>
          <t>styext</t>
        </is>
      </c>
      <c r="E191" t="n">
        <v>3774</v>
      </c>
      <c r="F191" t="n">
        <v>0.02</v>
      </c>
      <c r="G191" t="inlineStr">
        <is>
          <t>fenepm</t>
        </is>
      </c>
      <c r="H191" t="inlineStr">
        <is>
          <t>c2d2</t>
        </is>
      </c>
      <c r="I191" t="n">
        <v>0.042965</v>
      </c>
      <c r="J191" t="n">
        <v>1</v>
      </c>
      <c r="K191" t="inlineStr">
        <is>
          <t>clasen_boger</t>
        </is>
      </c>
      <c r="L191" t="inlineStr">
        <is>
          <t>julia/experiments/tnwpaper/outputs/exptl_comparison</t>
        </is>
      </c>
      <c r="M191" t="inlineStr">
        <is>
          <t>SUPERSEDED: Boger A-D c/c* geometric (use clasen_boger_km, c/c*_KM)</t>
        </is>
      </c>
    </row>
    <row r="192">
      <c r="A192" t="b">
        <v>0</v>
      </c>
      <c r="B192" t="n">
        <v>191</v>
      </c>
      <c r="C192" t="inlineStr">
        <is>
          <t>B7</t>
        </is>
      </c>
      <c r="D192" t="inlineStr">
        <is>
          <t>caber</t>
        </is>
      </c>
      <c r="E192" t="n">
        <v>3774</v>
      </c>
      <c r="F192" t="n">
        <v>0.02</v>
      </c>
      <c r="G192" t="inlineStr">
        <is>
          <t>fenepm</t>
        </is>
      </c>
      <c r="H192" t="inlineStr">
        <is>
          <t>constant</t>
        </is>
      </c>
      <c r="I192" t="n">
        <v>0.042965</v>
      </c>
      <c r="J192" t="inlineStr">
        <is>
          <t>[0.01, 0.03, 0.1, 0.3, 1, 3, 10, 30, 100]</t>
        </is>
      </c>
      <c r="K192" t="inlineStr">
        <is>
          <t>clasen_boger</t>
        </is>
      </c>
      <c r="L192" t="inlineStr">
        <is>
          <t>julia/experiments/tnwpaper/outputs/exptl_comparison</t>
        </is>
      </c>
      <c r="M192" t="inlineStr">
        <is>
          <t>SUPERSEDED: Boger A-D c/c* geometric (use clasen_boger_km, c/c*_KM)</t>
        </is>
      </c>
    </row>
    <row r="193">
      <c r="A193" t="b">
        <v>0</v>
      </c>
      <c r="B193" t="n">
        <v>192</v>
      </c>
      <c r="C193" t="inlineStr">
        <is>
          <t>B7</t>
        </is>
      </c>
      <c r="D193" t="inlineStr">
        <is>
          <t>caber</t>
        </is>
      </c>
      <c r="E193" t="n">
        <v>3774</v>
      </c>
      <c r="F193" t="n">
        <v>0.02</v>
      </c>
      <c r="G193" t="inlineStr">
        <is>
          <t>fenepm</t>
        </is>
      </c>
      <c r="H193" t="inlineStr">
        <is>
          <t>c2d2</t>
        </is>
      </c>
      <c r="I193" t="n">
        <v>0.042965</v>
      </c>
      <c r="J193" t="inlineStr">
        <is>
          <t>[0.01, 0.03, 0.1, 0.3, 1, 3, 10, 30, 100]</t>
        </is>
      </c>
      <c r="K193" t="inlineStr">
        <is>
          <t>clasen_boger</t>
        </is>
      </c>
      <c r="L193" t="inlineStr">
        <is>
          <t>julia/experiments/tnwpaper/outputs/exptl_comparison</t>
        </is>
      </c>
      <c r="M193" t="inlineStr">
        <is>
          <t>SUPERSEDED: Boger A-D c/c* geometric (use clasen_boger_km, c/c*_KM)</t>
        </is>
      </c>
    </row>
    <row r="194">
      <c r="A194" t="b">
        <v>0</v>
      </c>
      <c r="B194" t="n">
        <v>193</v>
      </c>
      <c r="C194" t="inlineStr">
        <is>
          <t>C1</t>
        </is>
      </c>
      <c r="D194" t="inlineStr">
        <is>
          <t>styext</t>
        </is>
      </c>
      <c r="E194" t="n">
        <v>7682</v>
      </c>
      <c r="F194" t="n">
        <v>0.02</v>
      </c>
      <c r="G194" t="inlineStr">
        <is>
          <t>fenepm</t>
        </is>
      </c>
      <c r="H194" t="inlineStr">
        <is>
          <t>constant</t>
        </is>
      </c>
      <c r="I194" t="n">
        <v>0.003363</v>
      </c>
      <c r="J194" t="n">
        <v>1</v>
      </c>
      <c r="K194" t="inlineStr">
        <is>
          <t>clasen_boger</t>
        </is>
      </c>
      <c r="L194" t="inlineStr">
        <is>
          <t>julia/experiments/tnwpaper/outputs/exptl_comparison</t>
        </is>
      </c>
      <c r="M194" t="inlineStr">
        <is>
          <t>SUPERSEDED: Boger A-D c/c* geometric (use clasen_boger_km, c/c*_KM)</t>
        </is>
      </c>
    </row>
    <row r="195">
      <c r="A195" t="b">
        <v>0</v>
      </c>
      <c r="B195" t="n">
        <v>194</v>
      </c>
      <c r="C195" t="inlineStr">
        <is>
          <t>C1</t>
        </is>
      </c>
      <c r="D195" t="inlineStr">
        <is>
          <t>styext</t>
        </is>
      </c>
      <c r="E195" t="n">
        <v>7682</v>
      </c>
      <c r="F195" t="n">
        <v>0.02</v>
      </c>
      <c r="G195" t="inlineStr">
        <is>
          <t>fenepm</t>
        </is>
      </c>
      <c r="H195" t="inlineStr">
        <is>
          <t>c2d2</t>
        </is>
      </c>
      <c r="I195" t="n">
        <v>0.003363</v>
      </c>
      <c r="J195" t="n">
        <v>1</v>
      </c>
      <c r="K195" t="inlineStr">
        <is>
          <t>clasen_boger</t>
        </is>
      </c>
      <c r="L195" t="inlineStr">
        <is>
          <t>julia/experiments/tnwpaper/outputs/exptl_comparison</t>
        </is>
      </c>
      <c r="M195" t="inlineStr">
        <is>
          <t>SUPERSEDED: Boger A-D c/c* geometric (use clasen_boger_km, c/c*_KM)</t>
        </is>
      </c>
    </row>
    <row r="196">
      <c r="A196" t="b">
        <v>0</v>
      </c>
      <c r="B196" t="n">
        <v>195</v>
      </c>
      <c r="C196" t="inlineStr">
        <is>
          <t>C1</t>
        </is>
      </c>
      <c r="D196" t="inlineStr">
        <is>
          <t>caber</t>
        </is>
      </c>
      <c r="E196" t="n">
        <v>7682</v>
      </c>
      <c r="F196" t="n">
        <v>0.02</v>
      </c>
      <c r="G196" t="inlineStr">
        <is>
          <t>fenepm</t>
        </is>
      </c>
      <c r="H196" t="inlineStr">
        <is>
          <t>constant</t>
        </is>
      </c>
      <c r="I196" t="n">
        <v>0.003363</v>
      </c>
      <c r="J196" t="inlineStr">
        <is>
          <t>[0.01, 0.03, 0.1, 0.3, 1, 3, 10, 30, 100]</t>
        </is>
      </c>
      <c r="K196" t="inlineStr">
        <is>
          <t>clasen_boger</t>
        </is>
      </c>
      <c r="L196" t="inlineStr">
        <is>
          <t>julia/experiments/tnwpaper/outputs/exptl_comparison</t>
        </is>
      </c>
      <c r="M196" t="inlineStr">
        <is>
          <t>SUPERSEDED: Boger A-D c/c* geometric (use clasen_boger_km, c/c*_KM)</t>
        </is>
      </c>
    </row>
    <row r="197">
      <c r="A197" t="b">
        <v>0</v>
      </c>
      <c r="B197" t="n">
        <v>196</v>
      </c>
      <c r="C197" t="inlineStr">
        <is>
          <t>C1</t>
        </is>
      </c>
      <c r="D197" t="inlineStr">
        <is>
          <t>caber</t>
        </is>
      </c>
      <c r="E197" t="n">
        <v>7682</v>
      </c>
      <c r="F197" t="n">
        <v>0.02</v>
      </c>
      <c r="G197" t="inlineStr">
        <is>
          <t>fenepm</t>
        </is>
      </c>
      <c r="H197" t="inlineStr">
        <is>
          <t>c2d2</t>
        </is>
      </c>
      <c r="I197" t="n">
        <v>0.003363</v>
      </c>
      <c r="J197" t="inlineStr">
        <is>
          <t>[0.01, 0.03, 0.1, 0.3, 1, 3, 10, 30, 100]</t>
        </is>
      </c>
      <c r="K197" t="inlineStr">
        <is>
          <t>clasen_boger</t>
        </is>
      </c>
      <c r="L197" t="inlineStr">
        <is>
          <t>julia/experiments/tnwpaper/outputs/exptl_comparison</t>
        </is>
      </c>
      <c r="M197" t="inlineStr">
        <is>
          <t>SUPERSEDED: Boger A-D c/c* geometric (use clasen_boger_km, c/c*_KM)</t>
        </is>
      </c>
    </row>
    <row r="198">
      <c r="A198" t="b">
        <v>0</v>
      </c>
      <c r="B198" t="n">
        <v>197</v>
      </c>
      <c r="C198" t="inlineStr">
        <is>
          <t>C2</t>
        </is>
      </c>
      <c r="D198" t="inlineStr">
        <is>
          <t>styext</t>
        </is>
      </c>
      <c r="E198" t="n">
        <v>7682</v>
      </c>
      <c r="F198" t="n">
        <v>0.02</v>
      </c>
      <c r="G198" t="inlineStr">
        <is>
          <t>fenepm</t>
        </is>
      </c>
      <c r="H198" t="inlineStr">
        <is>
          <t>constant</t>
        </is>
      </c>
      <c r="I198" t="n">
        <v>0.004257</v>
      </c>
      <c r="J198" t="n">
        <v>1</v>
      </c>
      <c r="K198" t="inlineStr">
        <is>
          <t>clasen_boger</t>
        </is>
      </c>
      <c r="L198" t="inlineStr">
        <is>
          <t>julia/experiments/tnwpaper/outputs/exptl_comparison</t>
        </is>
      </c>
      <c r="M198" t="inlineStr">
        <is>
          <t>SUPERSEDED: Boger A-D c/c* geometric (use clasen_boger_km, c/c*_KM)</t>
        </is>
      </c>
    </row>
    <row r="199">
      <c r="A199" t="b">
        <v>0</v>
      </c>
      <c r="B199" t="n">
        <v>198</v>
      </c>
      <c r="C199" t="inlineStr">
        <is>
          <t>C2</t>
        </is>
      </c>
      <c r="D199" t="inlineStr">
        <is>
          <t>styext</t>
        </is>
      </c>
      <c r="E199" t="n">
        <v>7682</v>
      </c>
      <c r="F199" t="n">
        <v>0.02</v>
      </c>
      <c r="G199" t="inlineStr">
        <is>
          <t>fenepm</t>
        </is>
      </c>
      <c r="H199" t="inlineStr">
        <is>
          <t>c2d2</t>
        </is>
      </c>
      <c r="I199" t="n">
        <v>0.004257</v>
      </c>
      <c r="J199" t="n">
        <v>1</v>
      </c>
      <c r="K199" t="inlineStr">
        <is>
          <t>clasen_boger</t>
        </is>
      </c>
      <c r="L199" t="inlineStr">
        <is>
          <t>julia/experiments/tnwpaper/outputs/exptl_comparison</t>
        </is>
      </c>
      <c r="M199" t="inlineStr">
        <is>
          <t>SUPERSEDED: Boger A-D c/c* geometric (use clasen_boger_km, c/c*_KM)</t>
        </is>
      </c>
    </row>
    <row r="200">
      <c r="A200" t="b">
        <v>0</v>
      </c>
      <c r="B200" t="n">
        <v>199</v>
      </c>
      <c r="C200" t="inlineStr">
        <is>
          <t>C2</t>
        </is>
      </c>
      <c r="D200" t="inlineStr">
        <is>
          <t>caber</t>
        </is>
      </c>
      <c r="E200" t="n">
        <v>7682</v>
      </c>
      <c r="F200" t="n">
        <v>0.02</v>
      </c>
      <c r="G200" t="inlineStr">
        <is>
          <t>fenepm</t>
        </is>
      </c>
      <c r="H200" t="inlineStr">
        <is>
          <t>constant</t>
        </is>
      </c>
      <c r="I200" t="n">
        <v>0.004257</v>
      </c>
      <c r="J200" t="inlineStr">
        <is>
          <t>[0.01, 0.03, 0.1, 0.3, 1, 3, 10, 30, 100]</t>
        </is>
      </c>
      <c r="K200" t="inlineStr">
        <is>
          <t>clasen_boger</t>
        </is>
      </c>
      <c r="L200" t="inlineStr">
        <is>
          <t>julia/experiments/tnwpaper/outputs/exptl_comparison</t>
        </is>
      </c>
      <c r="M200" t="inlineStr">
        <is>
          <t>SUPERSEDED: Boger A-D c/c* geometric (use clasen_boger_km, c/c*_KM)</t>
        </is>
      </c>
    </row>
    <row r="201">
      <c r="A201" t="b">
        <v>0</v>
      </c>
      <c r="B201" t="n">
        <v>200</v>
      </c>
      <c r="C201" t="inlineStr">
        <is>
          <t>C2</t>
        </is>
      </c>
      <c r="D201" t="inlineStr">
        <is>
          <t>caber</t>
        </is>
      </c>
      <c r="E201" t="n">
        <v>7682</v>
      </c>
      <c r="F201" t="n">
        <v>0.02</v>
      </c>
      <c r="G201" t="inlineStr">
        <is>
          <t>fenepm</t>
        </is>
      </c>
      <c r="H201" t="inlineStr">
        <is>
          <t>c2d2</t>
        </is>
      </c>
      <c r="I201" t="n">
        <v>0.004257</v>
      </c>
      <c r="J201" t="inlineStr">
        <is>
          <t>[0.01, 0.03, 0.1, 0.3, 1, 3, 10, 30, 100]</t>
        </is>
      </c>
      <c r="K201" t="inlineStr">
        <is>
          <t>clasen_boger</t>
        </is>
      </c>
      <c r="L201" t="inlineStr">
        <is>
          <t>julia/experiments/tnwpaper/outputs/exptl_comparison</t>
        </is>
      </c>
      <c r="M201" t="inlineStr">
        <is>
          <t>SUPERSEDED: Boger A-D c/c* geometric (use clasen_boger_km, c/c*_KM)</t>
        </is>
      </c>
    </row>
    <row r="202">
      <c r="A202" t="b">
        <v>0</v>
      </c>
      <c r="B202" t="n">
        <v>201</v>
      </c>
      <c r="C202" t="inlineStr">
        <is>
          <t>C3</t>
        </is>
      </c>
      <c r="D202" t="inlineStr">
        <is>
          <t>styext</t>
        </is>
      </c>
      <c r="E202" t="n">
        <v>7682</v>
      </c>
      <c r="F202" t="n">
        <v>0.02</v>
      </c>
      <c r="G202" t="inlineStr">
        <is>
          <t>fenepm</t>
        </is>
      </c>
      <c r="H202" t="inlineStr">
        <is>
          <t>constant</t>
        </is>
      </c>
      <c r="I202" t="n">
        <v>0.013452</v>
      </c>
      <c r="J202" t="n">
        <v>1</v>
      </c>
      <c r="K202" t="inlineStr">
        <is>
          <t>clasen_boger</t>
        </is>
      </c>
      <c r="L202" t="inlineStr">
        <is>
          <t>julia/experiments/tnwpaper/outputs/exptl_comparison</t>
        </is>
      </c>
      <c r="M202" t="inlineStr">
        <is>
          <t>SUPERSEDED: Boger A-D c/c* geometric (use clasen_boger_km, c/c*_KM)</t>
        </is>
      </c>
    </row>
    <row r="203">
      <c r="A203" t="b">
        <v>0</v>
      </c>
      <c r="B203" t="n">
        <v>202</v>
      </c>
      <c r="C203" t="inlineStr">
        <is>
          <t>C3</t>
        </is>
      </c>
      <c r="D203" t="inlineStr">
        <is>
          <t>styext</t>
        </is>
      </c>
      <c r="E203" t="n">
        <v>7682</v>
      </c>
      <c r="F203" t="n">
        <v>0.02</v>
      </c>
      <c r="G203" t="inlineStr">
        <is>
          <t>fenepm</t>
        </is>
      </c>
      <c r="H203" t="inlineStr">
        <is>
          <t>c2d2</t>
        </is>
      </c>
      <c r="I203" t="n">
        <v>0.013452</v>
      </c>
      <c r="J203" t="n">
        <v>1</v>
      </c>
      <c r="K203" t="inlineStr">
        <is>
          <t>clasen_boger</t>
        </is>
      </c>
      <c r="L203" t="inlineStr">
        <is>
          <t>julia/experiments/tnwpaper/outputs/exptl_comparison</t>
        </is>
      </c>
      <c r="M203" t="inlineStr">
        <is>
          <t>SUPERSEDED: Boger A-D c/c* geometric (use clasen_boger_km, c/c*_KM)</t>
        </is>
      </c>
    </row>
    <row r="204">
      <c r="A204" t="b">
        <v>0</v>
      </c>
      <c r="B204" t="n">
        <v>203</v>
      </c>
      <c r="C204" t="inlineStr">
        <is>
          <t>C3</t>
        </is>
      </c>
      <c r="D204" t="inlineStr">
        <is>
          <t>caber</t>
        </is>
      </c>
      <c r="E204" t="n">
        <v>7682</v>
      </c>
      <c r="F204" t="n">
        <v>0.02</v>
      </c>
      <c r="G204" t="inlineStr">
        <is>
          <t>fenepm</t>
        </is>
      </c>
      <c r="H204" t="inlineStr">
        <is>
          <t>constant</t>
        </is>
      </c>
      <c r="I204" t="n">
        <v>0.013452</v>
      </c>
      <c r="J204" t="inlineStr">
        <is>
          <t>[0.01, 0.03, 0.1, 0.3, 1, 3, 10, 30, 100]</t>
        </is>
      </c>
      <c r="K204" t="inlineStr">
        <is>
          <t>clasen_boger</t>
        </is>
      </c>
      <c r="L204" t="inlineStr">
        <is>
          <t>julia/experiments/tnwpaper/outputs/exptl_comparison</t>
        </is>
      </c>
      <c r="M204" t="inlineStr">
        <is>
          <t>SUPERSEDED: Boger A-D c/c* geometric (use clasen_boger_km, c/c*_KM)</t>
        </is>
      </c>
    </row>
    <row r="205">
      <c r="A205" t="b">
        <v>0</v>
      </c>
      <c r="B205" t="n">
        <v>204</v>
      </c>
      <c r="C205" t="inlineStr">
        <is>
          <t>C3</t>
        </is>
      </c>
      <c r="D205" t="inlineStr">
        <is>
          <t>caber</t>
        </is>
      </c>
      <c r="E205" t="n">
        <v>7682</v>
      </c>
      <c r="F205" t="n">
        <v>0.02</v>
      </c>
      <c r="G205" t="inlineStr">
        <is>
          <t>fenepm</t>
        </is>
      </c>
      <c r="H205" t="inlineStr">
        <is>
          <t>c2d2</t>
        </is>
      </c>
      <c r="I205" t="n">
        <v>0.013452</v>
      </c>
      <c r="J205" t="inlineStr">
        <is>
          <t>[0.01, 0.03, 0.1, 0.3, 1, 3, 10, 30, 100]</t>
        </is>
      </c>
      <c r="K205" t="inlineStr">
        <is>
          <t>clasen_boger</t>
        </is>
      </c>
      <c r="L205" t="inlineStr">
        <is>
          <t>julia/experiments/tnwpaper/outputs/exptl_comparison</t>
        </is>
      </c>
      <c r="M205" t="inlineStr">
        <is>
          <t>SUPERSEDED: Boger A-D c/c* geometric (use clasen_boger_km, c/c*_KM)</t>
        </is>
      </c>
    </row>
    <row r="206">
      <c r="A206" t="b">
        <v>0</v>
      </c>
      <c r="B206" t="n">
        <v>205</v>
      </c>
      <c r="C206" t="inlineStr">
        <is>
          <t>C4</t>
        </is>
      </c>
      <c r="D206" t="inlineStr">
        <is>
          <t>styext</t>
        </is>
      </c>
      <c r="E206" t="n">
        <v>7682</v>
      </c>
      <c r="F206" t="n">
        <v>0.02</v>
      </c>
      <c r="G206" t="inlineStr">
        <is>
          <t>fenepm</t>
        </is>
      </c>
      <c r="H206" t="inlineStr">
        <is>
          <t>constant</t>
        </is>
      </c>
      <c r="I206" t="n">
        <v>0.042571</v>
      </c>
      <c r="J206" t="n">
        <v>1</v>
      </c>
      <c r="K206" t="inlineStr">
        <is>
          <t>clasen_boger</t>
        </is>
      </c>
      <c r="L206" t="inlineStr">
        <is>
          <t>julia/experiments/tnwpaper/outputs/exptl_comparison</t>
        </is>
      </c>
      <c r="M206" t="inlineStr">
        <is>
          <t>SUPERSEDED: Boger A-D c/c* geometric (use clasen_boger_km, c/c*_KM)</t>
        </is>
      </c>
    </row>
    <row r="207">
      <c r="A207" t="b">
        <v>0</v>
      </c>
      <c r="B207" t="n">
        <v>206</v>
      </c>
      <c r="C207" t="inlineStr">
        <is>
          <t>C4</t>
        </is>
      </c>
      <c r="D207" t="inlineStr">
        <is>
          <t>styext</t>
        </is>
      </c>
      <c r="E207" t="n">
        <v>7682</v>
      </c>
      <c r="F207" t="n">
        <v>0.02</v>
      </c>
      <c r="G207" t="inlineStr">
        <is>
          <t>fenepm</t>
        </is>
      </c>
      <c r="H207" t="inlineStr">
        <is>
          <t>c2d2</t>
        </is>
      </c>
      <c r="I207" t="n">
        <v>0.042571</v>
      </c>
      <c r="J207" t="n">
        <v>1</v>
      </c>
      <c r="K207" t="inlineStr">
        <is>
          <t>clasen_boger</t>
        </is>
      </c>
      <c r="L207" t="inlineStr">
        <is>
          <t>julia/experiments/tnwpaper/outputs/exptl_comparison</t>
        </is>
      </c>
      <c r="M207" t="inlineStr">
        <is>
          <t>SUPERSEDED: Boger A-D c/c* geometric (use clasen_boger_km, c/c*_KM)</t>
        </is>
      </c>
    </row>
    <row r="208">
      <c r="A208" t="b">
        <v>0</v>
      </c>
      <c r="B208" t="n">
        <v>207</v>
      </c>
      <c r="C208" t="inlineStr">
        <is>
          <t>C4</t>
        </is>
      </c>
      <c r="D208" t="inlineStr">
        <is>
          <t>caber</t>
        </is>
      </c>
      <c r="E208" t="n">
        <v>7682</v>
      </c>
      <c r="F208" t="n">
        <v>0.02</v>
      </c>
      <c r="G208" t="inlineStr">
        <is>
          <t>fenepm</t>
        </is>
      </c>
      <c r="H208" t="inlineStr">
        <is>
          <t>constant</t>
        </is>
      </c>
      <c r="I208" t="n">
        <v>0.042571</v>
      </c>
      <c r="J208" t="inlineStr">
        <is>
          <t>[0.01, 0.03, 0.1, 0.3, 1, 3, 10, 30, 100]</t>
        </is>
      </c>
      <c r="K208" t="inlineStr">
        <is>
          <t>clasen_boger</t>
        </is>
      </c>
      <c r="L208" t="inlineStr">
        <is>
          <t>julia/experiments/tnwpaper/outputs/exptl_comparison</t>
        </is>
      </c>
      <c r="M208" t="inlineStr">
        <is>
          <t>SUPERSEDED: Boger A-D c/c* geometric (use clasen_boger_km, c/c*_KM)</t>
        </is>
      </c>
    </row>
    <row r="209">
      <c r="A209" t="b">
        <v>0</v>
      </c>
      <c r="B209" t="n">
        <v>208</v>
      </c>
      <c r="C209" t="inlineStr">
        <is>
          <t>C4</t>
        </is>
      </c>
      <c r="D209" t="inlineStr">
        <is>
          <t>caber</t>
        </is>
      </c>
      <c r="E209" t="n">
        <v>7682</v>
      </c>
      <c r="F209" t="n">
        <v>0.02</v>
      </c>
      <c r="G209" t="inlineStr">
        <is>
          <t>fenepm</t>
        </is>
      </c>
      <c r="H209" t="inlineStr">
        <is>
          <t>c2d2</t>
        </is>
      </c>
      <c r="I209" t="n">
        <v>0.042571</v>
      </c>
      <c r="J209" t="inlineStr">
        <is>
          <t>[0.01, 0.03, 0.1, 0.3, 1, 3, 10, 30, 100]</t>
        </is>
      </c>
      <c r="K209" t="inlineStr">
        <is>
          <t>clasen_boger</t>
        </is>
      </c>
      <c r="L209" t="inlineStr">
        <is>
          <t>julia/experiments/tnwpaper/outputs/exptl_comparison</t>
        </is>
      </c>
      <c r="M209" t="inlineStr">
        <is>
          <t>SUPERSEDED: Boger A-D c/c* geometric (use clasen_boger_km, c/c*_KM)</t>
        </is>
      </c>
    </row>
    <row r="210">
      <c r="A210" t="b">
        <v>0</v>
      </c>
      <c r="B210" t="n">
        <v>209</v>
      </c>
      <c r="C210" t="inlineStr">
        <is>
          <t>C5</t>
        </is>
      </c>
      <c r="D210" t="inlineStr">
        <is>
          <t>styext</t>
        </is>
      </c>
      <c r="E210" t="n">
        <v>7682</v>
      </c>
      <c r="F210" t="n">
        <v>0.02</v>
      </c>
      <c r="G210" t="inlineStr">
        <is>
          <t>fenepm</t>
        </is>
      </c>
      <c r="H210" t="inlineStr">
        <is>
          <t>constant</t>
        </is>
      </c>
      <c r="I210" t="n">
        <v>0.134523</v>
      </c>
      <c r="J210" t="n">
        <v>1</v>
      </c>
      <c r="K210" t="inlineStr">
        <is>
          <t>clasen_boger</t>
        </is>
      </c>
      <c r="L210" t="inlineStr">
        <is>
          <t>julia/experiments/tnwpaper/outputs/exptl_comparison</t>
        </is>
      </c>
      <c r="M210" t="inlineStr">
        <is>
          <t>SUPERSEDED: Boger A-D c/c* geometric (use clasen_boger_km, c/c*_KM)</t>
        </is>
      </c>
    </row>
    <row r="211">
      <c r="A211" t="b">
        <v>0</v>
      </c>
      <c r="B211" t="n">
        <v>210</v>
      </c>
      <c r="C211" t="inlineStr">
        <is>
          <t>C5</t>
        </is>
      </c>
      <c r="D211" t="inlineStr">
        <is>
          <t>styext</t>
        </is>
      </c>
      <c r="E211" t="n">
        <v>7682</v>
      </c>
      <c r="F211" t="n">
        <v>0.02</v>
      </c>
      <c r="G211" t="inlineStr">
        <is>
          <t>fenepm</t>
        </is>
      </c>
      <c r="H211" t="inlineStr">
        <is>
          <t>c2d2</t>
        </is>
      </c>
      <c r="I211" t="n">
        <v>0.134523</v>
      </c>
      <c r="J211" t="n">
        <v>1</v>
      </c>
      <c r="K211" t="inlineStr">
        <is>
          <t>clasen_boger</t>
        </is>
      </c>
      <c r="L211" t="inlineStr">
        <is>
          <t>julia/experiments/tnwpaper/outputs/exptl_comparison</t>
        </is>
      </c>
      <c r="M211" t="inlineStr">
        <is>
          <t>SUPERSEDED: Boger A-D c/c* geometric (use clasen_boger_km, c/c*_KM)</t>
        </is>
      </c>
    </row>
    <row r="212">
      <c r="A212" t="b">
        <v>0</v>
      </c>
      <c r="B212" t="n">
        <v>211</v>
      </c>
      <c r="C212" t="inlineStr">
        <is>
          <t>C5</t>
        </is>
      </c>
      <c r="D212" t="inlineStr">
        <is>
          <t>caber</t>
        </is>
      </c>
      <c r="E212" t="n">
        <v>7682</v>
      </c>
      <c r="F212" t="n">
        <v>0.02</v>
      </c>
      <c r="G212" t="inlineStr">
        <is>
          <t>fenepm</t>
        </is>
      </c>
      <c r="H212" t="inlineStr">
        <is>
          <t>constant</t>
        </is>
      </c>
      <c r="I212" t="n">
        <v>0.134523</v>
      </c>
      <c r="J212" t="inlineStr">
        <is>
          <t>[0.01, 0.03, 0.1, 0.3, 1, 3, 10, 30, 100]</t>
        </is>
      </c>
      <c r="K212" t="inlineStr">
        <is>
          <t>clasen_boger</t>
        </is>
      </c>
      <c r="L212" t="inlineStr">
        <is>
          <t>julia/experiments/tnwpaper/outputs/exptl_comparison</t>
        </is>
      </c>
      <c r="M212" t="inlineStr">
        <is>
          <t>SUPERSEDED: Boger A-D c/c* geometric (use clasen_boger_km, c/c*_KM)</t>
        </is>
      </c>
    </row>
    <row r="213">
      <c r="A213" t="b">
        <v>0</v>
      </c>
      <c r="B213" t="n">
        <v>212</v>
      </c>
      <c r="C213" t="inlineStr">
        <is>
          <t>C5</t>
        </is>
      </c>
      <c r="D213" t="inlineStr">
        <is>
          <t>caber</t>
        </is>
      </c>
      <c r="E213" t="n">
        <v>7682</v>
      </c>
      <c r="F213" t="n">
        <v>0.02</v>
      </c>
      <c r="G213" t="inlineStr">
        <is>
          <t>fenepm</t>
        </is>
      </c>
      <c r="H213" t="inlineStr">
        <is>
          <t>c2d2</t>
        </is>
      </c>
      <c r="I213" t="n">
        <v>0.134523</v>
      </c>
      <c r="J213" t="inlineStr">
        <is>
          <t>[0.01, 0.03, 0.1, 0.3, 1, 3, 10, 30, 100]</t>
        </is>
      </c>
      <c r="K213" t="inlineStr">
        <is>
          <t>clasen_boger</t>
        </is>
      </c>
      <c r="L213" t="inlineStr">
        <is>
          <t>julia/experiments/tnwpaper/outputs/exptl_comparison</t>
        </is>
      </c>
      <c r="M213" t="inlineStr">
        <is>
          <t>SUPERSEDED: Boger A-D c/c* geometric (use clasen_boger_km, c/c*_KM)</t>
        </is>
      </c>
    </row>
    <row r="214">
      <c r="A214" t="b">
        <v>0</v>
      </c>
      <c r="B214" t="n">
        <v>213</v>
      </c>
      <c r="C214" t="inlineStr">
        <is>
          <t>D1</t>
        </is>
      </c>
      <c r="D214" t="inlineStr">
        <is>
          <t>styext</t>
        </is>
      </c>
      <c r="E214" t="n">
        <v>8086</v>
      </c>
      <c r="F214" t="n">
        <v>0.02</v>
      </c>
      <c r="G214" t="inlineStr">
        <is>
          <t>fenepm</t>
        </is>
      </c>
      <c r="H214" t="inlineStr">
        <is>
          <t>constant</t>
        </is>
      </c>
      <c r="I214" t="n">
        <v>0.004368</v>
      </c>
      <c r="J214" t="n">
        <v>1</v>
      </c>
      <c r="K214" t="inlineStr">
        <is>
          <t>clasen_boger</t>
        </is>
      </c>
      <c r="L214" t="inlineStr">
        <is>
          <t>julia/experiments/tnwpaper/outputs/exptl_comparison</t>
        </is>
      </c>
      <c r="M214" t="inlineStr">
        <is>
          <t>SUPERSEDED: Boger A-D c/c* geometric (use clasen_boger_km, c/c*_KM)</t>
        </is>
      </c>
    </row>
    <row r="215">
      <c r="A215" t="b">
        <v>0</v>
      </c>
      <c r="B215" t="n">
        <v>214</v>
      </c>
      <c r="C215" t="inlineStr">
        <is>
          <t>D1</t>
        </is>
      </c>
      <c r="D215" t="inlineStr">
        <is>
          <t>styext</t>
        </is>
      </c>
      <c r="E215" t="n">
        <v>8086</v>
      </c>
      <c r="F215" t="n">
        <v>0.02</v>
      </c>
      <c r="G215" t="inlineStr">
        <is>
          <t>fenepm</t>
        </is>
      </c>
      <c r="H215" t="inlineStr">
        <is>
          <t>c2d2</t>
        </is>
      </c>
      <c r="I215" t="n">
        <v>0.004368</v>
      </c>
      <c r="J215" t="n">
        <v>1</v>
      </c>
      <c r="K215" t="inlineStr">
        <is>
          <t>clasen_boger</t>
        </is>
      </c>
      <c r="L215" t="inlineStr">
        <is>
          <t>julia/experiments/tnwpaper/outputs/exptl_comparison</t>
        </is>
      </c>
      <c r="M215" t="inlineStr">
        <is>
          <t>SUPERSEDED: Boger A-D c/c* geometric (use clasen_boger_km, c/c*_KM)</t>
        </is>
      </c>
    </row>
    <row r="216">
      <c r="A216" t="b">
        <v>0</v>
      </c>
      <c r="B216" t="n">
        <v>215</v>
      </c>
      <c r="C216" t="inlineStr">
        <is>
          <t>D1</t>
        </is>
      </c>
      <c r="D216" t="inlineStr">
        <is>
          <t>caber</t>
        </is>
      </c>
      <c r="E216" t="n">
        <v>8086</v>
      </c>
      <c r="F216" t="n">
        <v>0.02</v>
      </c>
      <c r="G216" t="inlineStr">
        <is>
          <t>fenepm</t>
        </is>
      </c>
      <c r="H216" t="inlineStr">
        <is>
          <t>constant</t>
        </is>
      </c>
      <c r="I216" t="n">
        <v>0.004368</v>
      </c>
      <c r="J216" t="inlineStr">
        <is>
          <t>[0.01, 0.03, 0.1, 0.3, 1, 3, 10, 30, 100]</t>
        </is>
      </c>
      <c r="K216" t="inlineStr">
        <is>
          <t>clasen_boger</t>
        </is>
      </c>
      <c r="L216" t="inlineStr">
        <is>
          <t>julia/experiments/tnwpaper/outputs/exptl_comparison</t>
        </is>
      </c>
      <c r="M216" t="inlineStr">
        <is>
          <t>SUPERSEDED: Boger A-D c/c* geometric (use clasen_boger_km, c/c*_KM)</t>
        </is>
      </c>
    </row>
    <row r="217">
      <c r="A217" t="b">
        <v>0</v>
      </c>
      <c r="B217" t="n">
        <v>216</v>
      </c>
      <c r="C217" t="inlineStr">
        <is>
          <t>D1</t>
        </is>
      </c>
      <c r="D217" t="inlineStr">
        <is>
          <t>caber</t>
        </is>
      </c>
      <c r="E217" t="n">
        <v>8086</v>
      </c>
      <c r="F217" t="n">
        <v>0.02</v>
      </c>
      <c r="G217" t="inlineStr">
        <is>
          <t>fenepm</t>
        </is>
      </c>
      <c r="H217" t="inlineStr">
        <is>
          <t>c2d2</t>
        </is>
      </c>
      <c r="I217" t="n">
        <v>0.004368</v>
      </c>
      <c r="J217" t="inlineStr">
        <is>
          <t>[0.01, 0.03, 0.1, 0.3, 1, 3, 10, 30, 100]</t>
        </is>
      </c>
      <c r="K217" t="inlineStr">
        <is>
          <t>clasen_boger</t>
        </is>
      </c>
      <c r="L217" t="inlineStr">
        <is>
          <t>julia/experiments/tnwpaper/outputs/exptl_comparison</t>
        </is>
      </c>
      <c r="M217" t="inlineStr">
        <is>
          <t>SUPERSEDED: Boger A-D c/c* geometric (use clasen_boger_km, c/c*_KM)</t>
        </is>
      </c>
    </row>
    <row r="218">
      <c r="A218" t="b">
        <v>0</v>
      </c>
      <c r="B218" t="n">
        <v>217</v>
      </c>
      <c r="C218" t="inlineStr">
        <is>
          <t>D2</t>
        </is>
      </c>
      <c r="D218" t="inlineStr">
        <is>
          <t>styext</t>
        </is>
      </c>
      <c r="E218" t="n">
        <v>8086</v>
      </c>
      <c r="F218" t="n">
        <v>0.02</v>
      </c>
      <c r="G218" t="inlineStr">
        <is>
          <t>fenepm</t>
        </is>
      </c>
      <c r="H218" t="inlineStr">
        <is>
          <t>constant</t>
        </is>
      </c>
      <c r="I218" t="n">
        <v>0.021838</v>
      </c>
      <c r="J218" t="n">
        <v>1</v>
      </c>
      <c r="K218" t="inlineStr">
        <is>
          <t>clasen_boger</t>
        </is>
      </c>
      <c r="L218" t="inlineStr">
        <is>
          <t>julia/experiments/tnwpaper/outputs/exptl_comparison</t>
        </is>
      </c>
      <c r="M218" t="inlineStr">
        <is>
          <t>SUPERSEDED: Boger A-D c/c* geometric (use clasen_boger_km, c/c*_KM)</t>
        </is>
      </c>
    </row>
    <row r="219">
      <c r="A219" t="b">
        <v>0</v>
      </c>
      <c r="B219" t="n">
        <v>218</v>
      </c>
      <c r="C219" t="inlineStr">
        <is>
          <t>D2</t>
        </is>
      </c>
      <c r="D219" t="inlineStr">
        <is>
          <t>styext</t>
        </is>
      </c>
      <c r="E219" t="n">
        <v>8086</v>
      </c>
      <c r="F219" t="n">
        <v>0.02</v>
      </c>
      <c r="G219" t="inlineStr">
        <is>
          <t>fenepm</t>
        </is>
      </c>
      <c r="H219" t="inlineStr">
        <is>
          <t>c2d2</t>
        </is>
      </c>
      <c r="I219" t="n">
        <v>0.021838</v>
      </c>
      <c r="J219" t="n">
        <v>1</v>
      </c>
      <c r="K219" t="inlineStr">
        <is>
          <t>clasen_boger</t>
        </is>
      </c>
      <c r="L219" t="inlineStr">
        <is>
          <t>julia/experiments/tnwpaper/outputs/exptl_comparison</t>
        </is>
      </c>
      <c r="M219" t="inlineStr">
        <is>
          <t>SUPERSEDED: Boger A-D c/c* geometric (use clasen_boger_km, c/c*_KM)</t>
        </is>
      </c>
    </row>
    <row r="220">
      <c r="A220" t="b">
        <v>0</v>
      </c>
      <c r="B220" t="n">
        <v>219</v>
      </c>
      <c r="C220" t="inlineStr">
        <is>
          <t>D2</t>
        </is>
      </c>
      <c r="D220" t="inlineStr">
        <is>
          <t>caber</t>
        </is>
      </c>
      <c r="E220" t="n">
        <v>8086</v>
      </c>
      <c r="F220" t="n">
        <v>0.02</v>
      </c>
      <c r="G220" t="inlineStr">
        <is>
          <t>fenepm</t>
        </is>
      </c>
      <c r="H220" t="inlineStr">
        <is>
          <t>constant</t>
        </is>
      </c>
      <c r="I220" t="n">
        <v>0.021838</v>
      </c>
      <c r="J220" t="inlineStr">
        <is>
          <t>[0.01, 0.03, 0.1, 0.3, 1, 3, 10, 30, 100]</t>
        </is>
      </c>
      <c r="K220" t="inlineStr">
        <is>
          <t>clasen_boger</t>
        </is>
      </c>
      <c r="L220" t="inlineStr">
        <is>
          <t>julia/experiments/tnwpaper/outputs/exptl_comparison</t>
        </is>
      </c>
      <c r="M220" t="inlineStr">
        <is>
          <t>SUPERSEDED: Boger A-D c/c* geometric (use clasen_boger_km, c/c*_KM)</t>
        </is>
      </c>
    </row>
    <row r="221">
      <c r="A221" t="b">
        <v>0</v>
      </c>
      <c r="B221" t="n">
        <v>220</v>
      </c>
      <c r="C221" t="inlineStr">
        <is>
          <t>D2</t>
        </is>
      </c>
      <c r="D221" t="inlineStr">
        <is>
          <t>caber</t>
        </is>
      </c>
      <c r="E221" t="n">
        <v>8086</v>
      </c>
      <c r="F221" t="n">
        <v>0.02</v>
      </c>
      <c r="G221" t="inlineStr">
        <is>
          <t>fenepm</t>
        </is>
      </c>
      <c r="H221" t="inlineStr">
        <is>
          <t>c2d2</t>
        </is>
      </c>
      <c r="I221" t="n">
        <v>0.021838</v>
      </c>
      <c r="J221" t="inlineStr">
        <is>
          <t>[0.01, 0.03, 0.1, 0.3, 1, 3, 10, 30, 100]</t>
        </is>
      </c>
      <c r="K221" t="inlineStr">
        <is>
          <t>clasen_boger</t>
        </is>
      </c>
      <c r="L221" t="inlineStr">
        <is>
          <t>julia/experiments/tnwpaper/outputs/exptl_comparison</t>
        </is>
      </c>
      <c r="M221" t="inlineStr">
        <is>
          <t>SUPERSEDED: Boger A-D c/c* geometric (use clasen_boger_km, c/c*_KM)</t>
        </is>
      </c>
    </row>
    <row r="222">
      <c r="A222" t="b">
        <v>0</v>
      </c>
      <c r="B222" t="n">
        <v>221</v>
      </c>
      <c r="C222" t="inlineStr">
        <is>
          <t>D3</t>
        </is>
      </c>
      <c r="D222" t="inlineStr">
        <is>
          <t>styext</t>
        </is>
      </c>
      <c r="E222" t="n">
        <v>8086</v>
      </c>
      <c r="F222" t="n">
        <v>0.02</v>
      </c>
      <c r="G222" t="inlineStr">
        <is>
          <t>fenepm</t>
        </is>
      </c>
      <c r="H222" t="inlineStr">
        <is>
          <t>constant</t>
        </is>
      </c>
      <c r="I222" t="n">
        <v>0.043676</v>
      </c>
      <c r="J222" t="n">
        <v>1</v>
      </c>
      <c r="K222" t="inlineStr">
        <is>
          <t>clasen_boger</t>
        </is>
      </c>
      <c r="L222" t="inlineStr">
        <is>
          <t>julia/experiments/tnwpaper/outputs/exptl_comparison</t>
        </is>
      </c>
      <c r="M222" t="inlineStr">
        <is>
          <t>SUPERSEDED: Boger A-D c/c* geometric (use clasen_boger_km, c/c*_KM)</t>
        </is>
      </c>
    </row>
    <row r="223">
      <c r="A223" t="b">
        <v>0</v>
      </c>
      <c r="B223" t="n">
        <v>222</v>
      </c>
      <c r="C223" t="inlineStr">
        <is>
          <t>D3</t>
        </is>
      </c>
      <c r="D223" t="inlineStr">
        <is>
          <t>styext</t>
        </is>
      </c>
      <c r="E223" t="n">
        <v>8086</v>
      </c>
      <c r="F223" t="n">
        <v>0.02</v>
      </c>
      <c r="G223" t="inlineStr">
        <is>
          <t>fenepm</t>
        </is>
      </c>
      <c r="H223" t="inlineStr">
        <is>
          <t>c2d2</t>
        </is>
      </c>
      <c r="I223" t="n">
        <v>0.043676</v>
      </c>
      <c r="J223" t="n">
        <v>1</v>
      </c>
      <c r="K223" t="inlineStr">
        <is>
          <t>clasen_boger</t>
        </is>
      </c>
      <c r="L223" t="inlineStr">
        <is>
          <t>julia/experiments/tnwpaper/outputs/exptl_comparison</t>
        </is>
      </c>
      <c r="M223" t="inlineStr">
        <is>
          <t>SUPERSEDED: Boger A-D c/c* geometric (use clasen_boger_km, c/c*_KM)</t>
        </is>
      </c>
    </row>
    <row r="224">
      <c r="A224" t="b">
        <v>0</v>
      </c>
      <c r="B224" t="n">
        <v>223</v>
      </c>
      <c r="C224" t="inlineStr">
        <is>
          <t>D3</t>
        </is>
      </c>
      <c r="D224" t="inlineStr">
        <is>
          <t>caber</t>
        </is>
      </c>
      <c r="E224" t="n">
        <v>8086</v>
      </c>
      <c r="F224" t="n">
        <v>0.02</v>
      </c>
      <c r="G224" t="inlineStr">
        <is>
          <t>fenepm</t>
        </is>
      </c>
      <c r="H224" t="inlineStr">
        <is>
          <t>constant</t>
        </is>
      </c>
      <c r="I224" t="n">
        <v>0.043676</v>
      </c>
      <c r="J224" t="inlineStr">
        <is>
          <t>[0.01, 0.03, 0.1, 0.3, 1, 3, 10, 30, 100]</t>
        </is>
      </c>
      <c r="K224" t="inlineStr">
        <is>
          <t>clasen_boger</t>
        </is>
      </c>
      <c r="L224" t="inlineStr">
        <is>
          <t>julia/experiments/tnwpaper/outputs/exptl_comparison</t>
        </is>
      </c>
      <c r="M224" t="inlineStr">
        <is>
          <t>SUPERSEDED: Boger A-D c/c* geometric (use clasen_boger_km, c/c*_KM)</t>
        </is>
      </c>
    </row>
    <row r="225">
      <c r="A225" t="b">
        <v>0</v>
      </c>
      <c r="B225" t="n">
        <v>224</v>
      </c>
      <c r="C225" t="inlineStr">
        <is>
          <t>D3</t>
        </is>
      </c>
      <c r="D225" t="inlineStr">
        <is>
          <t>caber</t>
        </is>
      </c>
      <c r="E225" t="n">
        <v>8086</v>
      </c>
      <c r="F225" t="n">
        <v>0.02</v>
      </c>
      <c r="G225" t="inlineStr">
        <is>
          <t>fenepm</t>
        </is>
      </c>
      <c r="H225" t="inlineStr">
        <is>
          <t>c2d2</t>
        </is>
      </c>
      <c r="I225" t="n">
        <v>0.043676</v>
      </c>
      <c r="J225" t="inlineStr">
        <is>
          <t>[0.01, 0.03, 0.1, 0.3, 1, 3, 10, 30, 100]</t>
        </is>
      </c>
      <c r="K225" t="inlineStr">
        <is>
          <t>clasen_boger</t>
        </is>
      </c>
      <c r="L225" t="inlineStr">
        <is>
          <t>julia/experiments/tnwpaper/outputs/exptl_comparison</t>
        </is>
      </c>
      <c r="M225" t="inlineStr">
        <is>
          <t>SUPERSEDED: Boger A-D c/c* geometric (use clasen_boger_km, c/c*_KM)</t>
        </is>
      </c>
    </row>
    <row r="226">
      <c r="A226" t="b">
        <v>0</v>
      </c>
      <c r="B226" t="n">
        <v>225</v>
      </c>
      <c r="C226" t="inlineStr">
        <is>
          <t>D4</t>
        </is>
      </c>
      <c r="D226" t="inlineStr">
        <is>
          <t>styext</t>
        </is>
      </c>
      <c r="E226" t="n">
        <v>8086</v>
      </c>
      <c r="F226" t="n">
        <v>0.02</v>
      </c>
      <c r="G226" t="inlineStr">
        <is>
          <t>fenepm</t>
        </is>
      </c>
      <c r="H226" t="inlineStr">
        <is>
          <t>constant</t>
        </is>
      </c>
      <c r="I226" t="n">
        <v>0.109191</v>
      </c>
      <c r="J226" t="n">
        <v>1</v>
      </c>
      <c r="K226" t="inlineStr">
        <is>
          <t>clasen_boger</t>
        </is>
      </c>
      <c r="L226" t="inlineStr">
        <is>
          <t>julia/experiments/tnwpaper/outputs/exptl_comparison</t>
        </is>
      </c>
      <c r="M226" t="inlineStr">
        <is>
          <t>SUPERSEDED: Boger A-D c/c* geometric (use clasen_boger_km, c/c*_KM)</t>
        </is>
      </c>
    </row>
    <row r="227">
      <c r="A227" t="b">
        <v>0</v>
      </c>
      <c r="B227" t="n">
        <v>226</v>
      </c>
      <c r="C227" t="inlineStr">
        <is>
          <t>D4</t>
        </is>
      </c>
      <c r="D227" t="inlineStr">
        <is>
          <t>styext</t>
        </is>
      </c>
      <c r="E227" t="n">
        <v>8086</v>
      </c>
      <c r="F227" t="n">
        <v>0.02</v>
      </c>
      <c r="G227" t="inlineStr">
        <is>
          <t>fenepm</t>
        </is>
      </c>
      <c r="H227" t="inlineStr">
        <is>
          <t>c2d2</t>
        </is>
      </c>
      <c r="I227" t="n">
        <v>0.109191</v>
      </c>
      <c r="J227" t="n">
        <v>1</v>
      </c>
      <c r="K227" t="inlineStr">
        <is>
          <t>clasen_boger</t>
        </is>
      </c>
      <c r="L227" t="inlineStr">
        <is>
          <t>julia/experiments/tnwpaper/outputs/exptl_comparison</t>
        </is>
      </c>
      <c r="M227" t="inlineStr">
        <is>
          <t>SUPERSEDED: Boger A-D c/c* geometric (use clasen_boger_km, c/c*_KM)</t>
        </is>
      </c>
    </row>
    <row r="228">
      <c r="A228" t="b">
        <v>0</v>
      </c>
      <c r="B228" t="n">
        <v>227</v>
      </c>
      <c r="C228" t="inlineStr">
        <is>
          <t>D4</t>
        </is>
      </c>
      <c r="D228" t="inlineStr">
        <is>
          <t>caber</t>
        </is>
      </c>
      <c r="E228" t="n">
        <v>8086</v>
      </c>
      <c r="F228" t="n">
        <v>0.02</v>
      </c>
      <c r="G228" t="inlineStr">
        <is>
          <t>fenepm</t>
        </is>
      </c>
      <c r="H228" t="inlineStr">
        <is>
          <t>constant</t>
        </is>
      </c>
      <c r="I228" t="n">
        <v>0.109191</v>
      </c>
      <c r="J228" t="inlineStr">
        <is>
          <t>[0.01, 0.03, 0.1, 0.3, 1, 3, 10, 30, 100]</t>
        </is>
      </c>
      <c r="K228" t="inlineStr">
        <is>
          <t>clasen_boger</t>
        </is>
      </c>
      <c r="L228" t="inlineStr">
        <is>
          <t>julia/experiments/tnwpaper/outputs/exptl_comparison</t>
        </is>
      </c>
      <c r="M228" t="inlineStr">
        <is>
          <t>SUPERSEDED: Boger A-D c/c* geometric (use clasen_boger_km, c/c*_KM)</t>
        </is>
      </c>
    </row>
    <row r="229">
      <c r="A229" t="b">
        <v>0</v>
      </c>
      <c r="B229" t="n">
        <v>228</v>
      </c>
      <c r="C229" t="inlineStr">
        <is>
          <t>D4</t>
        </is>
      </c>
      <c r="D229" t="inlineStr">
        <is>
          <t>caber</t>
        </is>
      </c>
      <c r="E229" t="n">
        <v>8086</v>
      </c>
      <c r="F229" t="n">
        <v>0.02</v>
      </c>
      <c r="G229" t="inlineStr">
        <is>
          <t>fenepm</t>
        </is>
      </c>
      <c r="H229" t="inlineStr">
        <is>
          <t>c2d2</t>
        </is>
      </c>
      <c r="I229" t="n">
        <v>0.109191</v>
      </c>
      <c r="J229" t="inlineStr">
        <is>
          <t>[0.01, 0.03, 0.1, 0.3, 1, 3, 10, 30, 100]</t>
        </is>
      </c>
      <c r="K229" t="inlineStr">
        <is>
          <t>clasen_boger</t>
        </is>
      </c>
      <c r="L229" t="inlineStr">
        <is>
          <t>julia/experiments/tnwpaper/outputs/exptl_comparison</t>
        </is>
      </c>
      <c r="M229" t="inlineStr">
        <is>
          <t>SUPERSEDED: Boger A-D c/c* geometric (use clasen_boger_km, c/c*_KM)</t>
        </is>
      </c>
    </row>
    <row r="230">
      <c r="A230" t="b">
        <v>0</v>
      </c>
      <c r="B230" t="n">
        <v>229</v>
      </c>
      <c r="C230" t="inlineStr">
        <is>
          <t>D5</t>
        </is>
      </c>
      <c r="D230" t="inlineStr">
        <is>
          <t>styext</t>
        </is>
      </c>
      <c r="E230" t="n">
        <v>8086</v>
      </c>
      <c r="F230" t="n">
        <v>0.02</v>
      </c>
      <c r="G230" t="inlineStr">
        <is>
          <t>fenepm</t>
        </is>
      </c>
      <c r="H230" t="inlineStr">
        <is>
          <t>constant</t>
        </is>
      </c>
      <c r="I230" t="n">
        <v>0.327574</v>
      </c>
      <c r="J230" t="n">
        <v>1</v>
      </c>
      <c r="K230" t="inlineStr">
        <is>
          <t>clasen_boger</t>
        </is>
      </c>
      <c r="L230" t="inlineStr">
        <is>
          <t>julia/experiments/tnwpaper/outputs/exptl_comparison</t>
        </is>
      </c>
      <c r="M230" t="inlineStr">
        <is>
          <t>SUPERSEDED: Boger A-D c/c* geometric (use clasen_boger_km, c/c*_KM)</t>
        </is>
      </c>
    </row>
    <row r="231">
      <c r="A231" t="b">
        <v>0</v>
      </c>
      <c r="B231" t="n">
        <v>230</v>
      </c>
      <c r="C231" t="inlineStr">
        <is>
          <t>D5</t>
        </is>
      </c>
      <c r="D231" t="inlineStr">
        <is>
          <t>styext</t>
        </is>
      </c>
      <c r="E231" t="n">
        <v>8086</v>
      </c>
      <c r="F231" t="n">
        <v>0.02</v>
      </c>
      <c r="G231" t="inlineStr">
        <is>
          <t>fenepm</t>
        </is>
      </c>
      <c r="H231" t="inlineStr">
        <is>
          <t>c2d2</t>
        </is>
      </c>
      <c r="I231" t="n">
        <v>0.327574</v>
      </c>
      <c r="J231" t="n">
        <v>1</v>
      </c>
      <c r="K231" t="inlineStr">
        <is>
          <t>clasen_boger</t>
        </is>
      </c>
      <c r="L231" t="inlineStr">
        <is>
          <t>julia/experiments/tnwpaper/outputs/exptl_comparison</t>
        </is>
      </c>
      <c r="M231" t="inlineStr">
        <is>
          <t>SUPERSEDED: Boger A-D c/c* geometric (use clasen_boger_km, c/c*_KM)</t>
        </is>
      </c>
    </row>
    <row r="232">
      <c r="A232" t="b">
        <v>0</v>
      </c>
      <c r="B232" t="n">
        <v>231</v>
      </c>
      <c r="C232" t="inlineStr">
        <is>
          <t>D5</t>
        </is>
      </c>
      <c r="D232" t="inlineStr">
        <is>
          <t>caber</t>
        </is>
      </c>
      <c r="E232" t="n">
        <v>8086</v>
      </c>
      <c r="F232" t="n">
        <v>0.02</v>
      </c>
      <c r="G232" t="inlineStr">
        <is>
          <t>fenepm</t>
        </is>
      </c>
      <c r="H232" t="inlineStr">
        <is>
          <t>constant</t>
        </is>
      </c>
      <c r="I232" t="n">
        <v>0.327574</v>
      </c>
      <c r="J232" t="inlineStr">
        <is>
          <t>[0.01, 0.03, 0.1, 0.3, 1, 3, 10, 30, 100]</t>
        </is>
      </c>
      <c r="K232" t="inlineStr">
        <is>
          <t>clasen_boger</t>
        </is>
      </c>
      <c r="L232" t="inlineStr">
        <is>
          <t>julia/experiments/tnwpaper/outputs/exptl_comparison</t>
        </is>
      </c>
      <c r="M232" t="inlineStr">
        <is>
          <t>SUPERSEDED: Boger A-D c/c* geometric (use clasen_boger_km, c/c*_KM)</t>
        </is>
      </c>
    </row>
    <row r="233">
      <c r="A233" t="b">
        <v>0</v>
      </c>
      <c r="B233" t="n">
        <v>232</v>
      </c>
      <c r="C233" t="inlineStr">
        <is>
          <t>D5</t>
        </is>
      </c>
      <c r="D233" t="inlineStr">
        <is>
          <t>caber</t>
        </is>
      </c>
      <c r="E233" t="n">
        <v>8086</v>
      </c>
      <c r="F233" t="n">
        <v>0.02</v>
      </c>
      <c r="G233" t="inlineStr">
        <is>
          <t>fenepm</t>
        </is>
      </c>
      <c r="H233" t="inlineStr">
        <is>
          <t>c2d2</t>
        </is>
      </c>
      <c r="I233" t="n">
        <v>0.327574</v>
      </c>
      <c r="J233" t="inlineStr">
        <is>
          <t>[0.01, 0.03, 0.1, 0.3, 1, 3, 10, 30, 100]</t>
        </is>
      </c>
      <c r="K233" t="inlineStr">
        <is>
          <t>clasen_boger</t>
        </is>
      </c>
      <c r="L233" t="inlineStr">
        <is>
          <t>julia/experiments/tnwpaper/outputs/exptl_comparison</t>
        </is>
      </c>
      <c r="M233" t="inlineStr">
        <is>
          <t>SUPERSEDED: Boger A-D c/c* geometric (use clasen_boger_km, c/c*_KM)</t>
        </is>
      </c>
    </row>
    <row r="234">
      <c r="A234" t="b">
        <v>0</v>
      </c>
      <c r="B234" t="n">
        <v>233</v>
      </c>
      <c r="C234" t="inlineStr">
        <is>
          <t>X1</t>
        </is>
      </c>
      <c r="D234" t="inlineStr">
        <is>
          <t>styext</t>
        </is>
      </c>
      <c r="E234" t="n">
        <v>11186</v>
      </c>
      <c r="F234" t="n">
        <v>0.015</v>
      </c>
      <c r="G234" t="inlineStr">
        <is>
          <t>fenepm</t>
        </is>
      </c>
      <c r="H234" t="inlineStr">
        <is>
          <t>constant</t>
        </is>
      </c>
      <c r="I234" t="n">
        <v>0.055976</v>
      </c>
      <c r="J234" t="n">
        <v>1</v>
      </c>
      <c r="K234" t="inlineStr">
        <is>
          <t>clasen_dep</t>
        </is>
      </c>
      <c r="L234" t="inlineStr">
        <is>
          <t>julia/experiments/tnwpaper/outputs/exptl_comparison</t>
        </is>
      </c>
      <c r="M234" t="inlineStr">
        <is>
          <t>SUPERSEDED: DEP c/c* geometric (use clasen_dep_km)</t>
        </is>
      </c>
    </row>
    <row r="235">
      <c r="A235" t="b">
        <v>0</v>
      </c>
      <c r="B235" t="n">
        <v>234</v>
      </c>
      <c r="C235" t="inlineStr">
        <is>
          <t>X1</t>
        </is>
      </c>
      <c r="D235" t="inlineStr">
        <is>
          <t>styext</t>
        </is>
      </c>
      <c r="E235" t="n">
        <v>11186</v>
      </c>
      <c r="F235" t="n">
        <v>0.015</v>
      </c>
      <c r="G235" t="inlineStr">
        <is>
          <t>fenepm</t>
        </is>
      </c>
      <c r="H235" t="inlineStr">
        <is>
          <t>c2d2</t>
        </is>
      </c>
      <c r="I235" t="n">
        <v>0.055976</v>
      </c>
      <c r="J235" t="n">
        <v>1</v>
      </c>
      <c r="K235" t="inlineStr">
        <is>
          <t>clasen_dep</t>
        </is>
      </c>
      <c r="L235" t="inlineStr">
        <is>
          <t>julia/experiments/tnwpaper/outputs/exptl_comparison</t>
        </is>
      </c>
      <c r="M235" t="inlineStr">
        <is>
          <t>SUPERSEDED: DEP c/c* geometric (use clasen_dep_km)</t>
        </is>
      </c>
    </row>
    <row r="236">
      <c r="A236" t="b">
        <v>0</v>
      </c>
      <c r="B236" t="n">
        <v>235</v>
      </c>
      <c r="C236" t="inlineStr">
        <is>
          <t>X1</t>
        </is>
      </c>
      <c r="D236" t="inlineStr">
        <is>
          <t>caber</t>
        </is>
      </c>
      <c r="E236" t="n">
        <v>11186</v>
      </c>
      <c r="F236" t="n">
        <v>0.015</v>
      </c>
      <c r="G236" t="inlineStr">
        <is>
          <t>fenepm</t>
        </is>
      </c>
      <c r="H236" t="inlineStr">
        <is>
          <t>constant</t>
        </is>
      </c>
      <c r="I236" t="n">
        <v>0.055976</v>
      </c>
      <c r="J236" t="inlineStr">
        <is>
          <t>[0.01, 0.03, 0.1, 0.3, 1, 3, 10, 30, 100]</t>
        </is>
      </c>
      <c r="K236" t="inlineStr">
        <is>
          <t>clasen_dep</t>
        </is>
      </c>
      <c r="L236" t="inlineStr">
        <is>
          <t>julia/experiments/tnwpaper/outputs/exptl_comparison</t>
        </is>
      </c>
      <c r="M236" t="inlineStr">
        <is>
          <t>SUPERSEDED: DEP c/c* geometric (use clasen_dep_km)</t>
        </is>
      </c>
    </row>
    <row r="237">
      <c r="A237" t="b">
        <v>0</v>
      </c>
      <c r="B237" t="n">
        <v>236</v>
      </c>
      <c r="C237" t="inlineStr">
        <is>
          <t>X1</t>
        </is>
      </c>
      <c r="D237" t="inlineStr">
        <is>
          <t>caber</t>
        </is>
      </c>
      <c r="E237" t="n">
        <v>11186</v>
      </c>
      <c r="F237" t="n">
        <v>0.015</v>
      </c>
      <c r="G237" t="inlineStr">
        <is>
          <t>fenepm</t>
        </is>
      </c>
      <c r="H237" t="inlineStr">
        <is>
          <t>c2d2</t>
        </is>
      </c>
      <c r="I237" t="n">
        <v>0.055976</v>
      </c>
      <c r="J237" t="inlineStr">
        <is>
          <t>[0.01, 0.03, 0.1, 0.3, 1, 3, 10, 30, 100]</t>
        </is>
      </c>
      <c r="K237" t="inlineStr">
        <is>
          <t>clasen_dep</t>
        </is>
      </c>
      <c r="L237" t="inlineStr">
        <is>
          <t>julia/experiments/tnwpaper/outputs/exptl_comparison</t>
        </is>
      </c>
      <c r="M237" t="inlineStr">
        <is>
          <t>SUPERSEDED: DEP c/c* geometric (use clasen_dep_km)</t>
        </is>
      </c>
    </row>
    <row r="238">
      <c r="A238" t="b">
        <v>0</v>
      </c>
      <c r="B238" t="n">
        <v>237</v>
      </c>
      <c r="C238" t="inlineStr">
        <is>
          <t>X2</t>
        </is>
      </c>
      <c r="D238" t="inlineStr">
        <is>
          <t>styext</t>
        </is>
      </c>
      <c r="E238" t="n">
        <v>11186</v>
      </c>
      <c r="F238" t="n">
        <v>0.015</v>
      </c>
      <c r="G238" t="inlineStr">
        <is>
          <t>fenepm</t>
        </is>
      </c>
      <c r="H238" t="inlineStr">
        <is>
          <t>constant</t>
        </is>
      </c>
      <c r="I238" t="n">
        <v>0.176886</v>
      </c>
      <c r="J238" t="n">
        <v>1</v>
      </c>
      <c r="K238" t="inlineStr">
        <is>
          <t>clasen_dep</t>
        </is>
      </c>
      <c r="L238" t="inlineStr">
        <is>
          <t>julia/experiments/tnwpaper/outputs/exptl_comparison</t>
        </is>
      </c>
      <c r="M238" t="inlineStr">
        <is>
          <t>SUPERSEDED: DEP c/c* geometric (use clasen_dep_km)</t>
        </is>
      </c>
    </row>
    <row r="239">
      <c r="A239" t="b">
        <v>0</v>
      </c>
      <c r="B239" t="n">
        <v>238</v>
      </c>
      <c r="C239" t="inlineStr">
        <is>
          <t>X2</t>
        </is>
      </c>
      <c r="D239" t="inlineStr">
        <is>
          <t>styext</t>
        </is>
      </c>
      <c r="E239" t="n">
        <v>11186</v>
      </c>
      <c r="F239" t="n">
        <v>0.015</v>
      </c>
      <c r="G239" t="inlineStr">
        <is>
          <t>fenepm</t>
        </is>
      </c>
      <c r="H239" t="inlineStr">
        <is>
          <t>c2d2</t>
        </is>
      </c>
      <c r="I239" t="n">
        <v>0.176886</v>
      </c>
      <c r="J239" t="n">
        <v>1</v>
      </c>
      <c r="K239" t="inlineStr">
        <is>
          <t>clasen_dep</t>
        </is>
      </c>
      <c r="L239" t="inlineStr">
        <is>
          <t>julia/experiments/tnwpaper/outputs/exptl_comparison</t>
        </is>
      </c>
      <c r="M239" t="inlineStr">
        <is>
          <t>SUPERSEDED: DEP c/c* geometric (use clasen_dep_km)</t>
        </is>
      </c>
    </row>
    <row r="240">
      <c r="A240" t="b">
        <v>0</v>
      </c>
      <c r="B240" t="n">
        <v>239</v>
      </c>
      <c r="C240" t="inlineStr">
        <is>
          <t>X2</t>
        </is>
      </c>
      <c r="D240" t="inlineStr">
        <is>
          <t>caber</t>
        </is>
      </c>
      <c r="E240" t="n">
        <v>11186</v>
      </c>
      <c r="F240" t="n">
        <v>0.015</v>
      </c>
      <c r="G240" t="inlineStr">
        <is>
          <t>fenepm</t>
        </is>
      </c>
      <c r="H240" t="inlineStr">
        <is>
          <t>constant</t>
        </is>
      </c>
      <c r="I240" t="n">
        <v>0.176886</v>
      </c>
      <c r="J240" t="inlineStr">
        <is>
          <t>[0.01, 0.03, 0.1, 0.3, 1, 3, 10, 30, 100]</t>
        </is>
      </c>
      <c r="K240" t="inlineStr">
        <is>
          <t>clasen_dep</t>
        </is>
      </c>
      <c r="L240" t="inlineStr">
        <is>
          <t>julia/experiments/tnwpaper/outputs/exptl_comparison</t>
        </is>
      </c>
      <c r="M240" t="inlineStr">
        <is>
          <t>SUPERSEDED: DEP c/c* geometric (use clasen_dep_km)</t>
        </is>
      </c>
    </row>
    <row r="241">
      <c r="A241" t="b">
        <v>0</v>
      </c>
      <c r="B241" t="n">
        <v>240</v>
      </c>
      <c r="C241" t="inlineStr">
        <is>
          <t>X2</t>
        </is>
      </c>
      <c r="D241" t="inlineStr">
        <is>
          <t>caber</t>
        </is>
      </c>
      <c r="E241" t="n">
        <v>11186</v>
      </c>
      <c r="F241" t="n">
        <v>0.015</v>
      </c>
      <c r="G241" t="inlineStr">
        <is>
          <t>fenepm</t>
        </is>
      </c>
      <c r="H241" t="inlineStr">
        <is>
          <t>c2d2</t>
        </is>
      </c>
      <c r="I241" t="n">
        <v>0.176886</v>
      </c>
      <c r="J241" t="inlineStr">
        <is>
          <t>[0.01, 0.03, 0.1, 0.3, 1, 3, 10, 30, 100]</t>
        </is>
      </c>
      <c r="K241" t="inlineStr">
        <is>
          <t>clasen_dep</t>
        </is>
      </c>
      <c r="L241" t="inlineStr">
        <is>
          <t>julia/experiments/tnwpaper/outputs/exptl_comparison</t>
        </is>
      </c>
      <c r="M241" t="inlineStr">
        <is>
          <t>SUPERSEDED: DEP c/c* geometric (use clasen_dep_km)</t>
        </is>
      </c>
    </row>
    <row r="242">
      <c r="A242" t="b">
        <v>0</v>
      </c>
      <c r="B242" t="n">
        <v>241</v>
      </c>
      <c r="C242" t="inlineStr">
        <is>
          <t>X3</t>
        </is>
      </c>
      <c r="D242" t="inlineStr">
        <is>
          <t>styext</t>
        </is>
      </c>
      <c r="E242" t="n">
        <v>11186</v>
      </c>
      <c r="F242" t="n">
        <v>0.015</v>
      </c>
      <c r="G242" t="inlineStr">
        <is>
          <t>fenepm</t>
        </is>
      </c>
      <c r="H242" t="inlineStr">
        <is>
          <t>constant</t>
        </is>
      </c>
      <c r="I242" t="n">
        <v>0.559765</v>
      </c>
      <c r="J242" t="n">
        <v>1</v>
      </c>
      <c r="K242" t="inlineStr">
        <is>
          <t>clasen_dep</t>
        </is>
      </c>
      <c r="L242" t="inlineStr">
        <is>
          <t>julia/experiments/tnwpaper/outputs/exptl_comparison</t>
        </is>
      </c>
      <c r="M242" t="inlineStr">
        <is>
          <t>SUPERSEDED: DEP c/c* geometric (use clasen_dep_km)</t>
        </is>
      </c>
    </row>
    <row r="243">
      <c r="A243" t="b">
        <v>0</v>
      </c>
      <c r="B243" t="n">
        <v>242</v>
      </c>
      <c r="C243" t="inlineStr">
        <is>
          <t>X3</t>
        </is>
      </c>
      <c r="D243" t="inlineStr">
        <is>
          <t>styext</t>
        </is>
      </c>
      <c r="E243" t="n">
        <v>11186</v>
      </c>
      <c r="F243" t="n">
        <v>0.015</v>
      </c>
      <c r="G243" t="inlineStr">
        <is>
          <t>fenepm</t>
        </is>
      </c>
      <c r="H243" t="inlineStr">
        <is>
          <t>c2d2</t>
        </is>
      </c>
      <c r="I243" t="n">
        <v>0.559765</v>
      </c>
      <c r="J243" t="n">
        <v>1</v>
      </c>
      <c r="K243" t="inlineStr">
        <is>
          <t>clasen_dep</t>
        </is>
      </c>
      <c r="L243" t="inlineStr">
        <is>
          <t>julia/experiments/tnwpaper/outputs/exptl_comparison</t>
        </is>
      </c>
      <c r="M243" t="inlineStr">
        <is>
          <t>SUPERSEDED: DEP c/c* geometric (use clasen_dep_km)</t>
        </is>
      </c>
    </row>
    <row r="244">
      <c r="A244" t="b">
        <v>0</v>
      </c>
      <c r="B244" t="n">
        <v>243</v>
      </c>
      <c r="C244" t="inlineStr">
        <is>
          <t>X3</t>
        </is>
      </c>
      <c r="D244" t="inlineStr">
        <is>
          <t>caber</t>
        </is>
      </c>
      <c r="E244" t="n">
        <v>11186</v>
      </c>
      <c r="F244" t="n">
        <v>0.015</v>
      </c>
      <c r="G244" t="inlineStr">
        <is>
          <t>fenepm</t>
        </is>
      </c>
      <c r="H244" t="inlineStr">
        <is>
          <t>constant</t>
        </is>
      </c>
      <c r="I244" t="n">
        <v>0.559765</v>
      </c>
      <c r="J244" t="inlineStr">
        <is>
          <t>[0.01, 0.03, 0.1, 0.3, 1, 3, 10, 30, 100]</t>
        </is>
      </c>
      <c r="K244" t="inlineStr">
        <is>
          <t>clasen_dep</t>
        </is>
      </c>
      <c r="L244" t="inlineStr">
        <is>
          <t>julia/experiments/tnwpaper/outputs/exptl_comparison</t>
        </is>
      </c>
      <c r="M244" t="inlineStr">
        <is>
          <t>SUPERSEDED: DEP c/c* geometric (use clasen_dep_km)</t>
        </is>
      </c>
    </row>
    <row r="245">
      <c r="A245" t="b">
        <v>0</v>
      </c>
      <c r="B245" t="n">
        <v>244</v>
      </c>
      <c r="C245" t="inlineStr">
        <is>
          <t>X3</t>
        </is>
      </c>
      <c r="D245" t="inlineStr">
        <is>
          <t>caber</t>
        </is>
      </c>
      <c r="E245" t="n">
        <v>11186</v>
      </c>
      <c r="F245" t="n">
        <v>0.015</v>
      </c>
      <c r="G245" t="inlineStr">
        <is>
          <t>fenepm</t>
        </is>
      </c>
      <c r="H245" t="inlineStr">
        <is>
          <t>c2d2</t>
        </is>
      </c>
      <c r="I245" t="n">
        <v>0.559765</v>
      </c>
      <c r="J245" t="inlineStr">
        <is>
          <t>[0.01, 0.03, 0.1, 0.3, 1, 3, 10, 30, 100]</t>
        </is>
      </c>
      <c r="K245" t="inlineStr">
        <is>
          <t>clasen_dep</t>
        </is>
      </c>
      <c r="L245" t="inlineStr">
        <is>
          <t>julia/experiments/tnwpaper/outputs/exptl_comparison</t>
        </is>
      </c>
      <c r="M245" t="inlineStr">
        <is>
          <t>SUPERSEDED: DEP c/c* geometric (use clasen_dep_km)</t>
        </is>
      </c>
    </row>
    <row r="246">
      <c r="A246" t="b">
        <v>0</v>
      </c>
      <c r="B246" t="n">
        <v>245</v>
      </c>
      <c r="C246" t="inlineStr">
        <is>
          <t>X4</t>
        </is>
      </c>
      <c r="D246" t="inlineStr">
        <is>
          <t>styext</t>
        </is>
      </c>
      <c r="E246" t="n">
        <v>11186</v>
      </c>
      <c r="F246" t="n">
        <v>0.015</v>
      </c>
      <c r="G246" t="inlineStr">
        <is>
          <t>fenepm</t>
        </is>
      </c>
      <c r="H246" t="inlineStr">
        <is>
          <t>constant</t>
        </is>
      </c>
      <c r="I246" t="n">
        <v>1.768856</v>
      </c>
      <c r="J246" t="n">
        <v>1</v>
      </c>
      <c r="K246" t="inlineStr">
        <is>
          <t>clasen_dep</t>
        </is>
      </c>
      <c r="L246" t="inlineStr">
        <is>
          <t>julia/experiments/tnwpaper/outputs/exptl_comparison</t>
        </is>
      </c>
      <c r="M246" t="inlineStr">
        <is>
          <t>SUPERSEDED: DEP c/c* geometric (use clasen_dep_km)</t>
        </is>
      </c>
    </row>
    <row r="247">
      <c r="A247" t="b">
        <v>0</v>
      </c>
      <c r="B247" t="n">
        <v>246</v>
      </c>
      <c r="C247" t="inlineStr">
        <is>
          <t>X4</t>
        </is>
      </c>
      <c r="D247" t="inlineStr">
        <is>
          <t>styext</t>
        </is>
      </c>
      <c r="E247" t="n">
        <v>11186</v>
      </c>
      <c r="F247" t="n">
        <v>0.015</v>
      </c>
      <c r="G247" t="inlineStr">
        <is>
          <t>fenepm</t>
        </is>
      </c>
      <c r="H247" t="inlineStr">
        <is>
          <t>c2d2</t>
        </is>
      </c>
      <c r="I247" t="n">
        <v>1.768856</v>
      </c>
      <c r="J247" t="n">
        <v>1</v>
      </c>
      <c r="K247" t="inlineStr">
        <is>
          <t>clasen_dep</t>
        </is>
      </c>
      <c r="L247" t="inlineStr">
        <is>
          <t>julia/experiments/tnwpaper/outputs/exptl_comparison</t>
        </is>
      </c>
      <c r="M247" t="inlineStr">
        <is>
          <t>SUPERSEDED: DEP c/c* geometric (use clasen_dep_km)</t>
        </is>
      </c>
    </row>
    <row r="248">
      <c r="A248" t="b">
        <v>0</v>
      </c>
      <c r="B248" t="n">
        <v>247</v>
      </c>
      <c r="C248" t="inlineStr">
        <is>
          <t>X4</t>
        </is>
      </c>
      <c r="D248" t="inlineStr">
        <is>
          <t>caber</t>
        </is>
      </c>
      <c r="E248" t="n">
        <v>11186</v>
      </c>
      <c r="F248" t="n">
        <v>0.015</v>
      </c>
      <c r="G248" t="inlineStr">
        <is>
          <t>fenepm</t>
        </is>
      </c>
      <c r="H248" t="inlineStr">
        <is>
          <t>constant</t>
        </is>
      </c>
      <c r="I248" t="n">
        <v>1.768856</v>
      </c>
      <c r="J248" t="inlineStr">
        <is>
          <t>[0.01, 0.03, 0.1, 0.3, 1, 3, 10, 30, 100]</t>
        </is>
      </c>
      <c r="K248" t="inlineStr">
        <is>
          <t>clasen_dep</t>
        </is>
      </c>
      <c r="L248" t="inlineStr">
        <is>
          <t>julia/experiments/tnwpaper/outputs/exptl_comparison</t>
        </is>
      </c>
      <c r="M248" t="inlineStr">
        <is>
          <t>SUPERSEDED: DEP c/c* geometric (use clasen_dep_km)</t>
        </is>
      </c>
    </row>
    <row r="249">
      <c r="A249" t="b">
        <v>0</v>
      </c>
      <c r="B249" t="n">
        <v>248</v>
      </c>
      <c r="C249" t="inlineStr">
        <is>
          <t>X4</t>
        </is>
      </c>
      <c r="D249" t="inlineStr">
        <is>
          <t>caber</t>
        </is>
      </c>
      <c r="E249" t="n">
        <v>11186</v>
      </c>
      <c r="F249" t="n">
        <v>0.015</v>
      </c>
      <c r="G249" t="inlineStr">
        <is>
          <t>fenepm</t>
        </is>
      </c>
      <c r="H249" t="inlineStr">
        <is>
          <t>c2d2</t>
        </is>
      </c>
      <c r="I249" t="n">
        <v>1.768856</v>
      </c>
      <c r="J249" t="inlineStr">
        <is>
          <t>[0.01, 0.03, 0.1, 0.3, 1, 3, 10, 30, 100]</t>
        </is>
      </c>
      <c r="K249" t="inlineStr">
        <is>
          <t>clasen_dep</t>
        </is>
      </c>
      <c r="L249" t="inlineStr">
        <is>
          <t>julia/experiments/tnwpaper/outputs/exptl_comparison</t>
        </is>
      </c>
      <c r="M249" t="inlineStr">
        <is>
          <t>SUPERSEDED: DEP c/c* geometric (use clasen_dep_km)</t>
        </is>
      </c>
    </row>
    <row r="250">
      <c r="A250" t="b">
        <v>0</v>
      </c>
      <c r="B250" t="n">
        <v>249</v>
      </c>
      <c r="C250" t="inlineStr">
        <is>
          <t>Y1</t>
        </is>
      </c>
      <c r="D250" t="inlineStr">
        <is>
          <t>styext</t>
        </is>
      </c>
      <c r="E250" t="n">
        <v>7682</v>
      </c>
      <c r="F250" t="n">
        <v>0.015</v>
      </c>
      <c r="G250" t="inlineStr">
        <is>
          <t>fenepm</t>
        </is>
      </c>
      <c r="H250" t="inlineStr">
        <is>
          <t>constant</t>
        </is>
      </c>
      <c r="I250" t="n">
        <v>0.046388</v>
      </c>
      <c r="J250" t="n">
        <v>1</v>
      </c>
      <c r="K250" t="inlineStr">
        <is>
          <t>clasen_dep</t>
        </is>
      </c>
      <c r="L250" t="inlineStr">
        <is>
          <t>julia/experiments/tnwpaper/outputs/exptl_comparison</t>
        </is>
      </c>
      <c r="M250" t="inlineStr">
        <is>
          <t>SUPERSEDED: DEP c/c* geometric (use clasen_dep_km)</t>
        </is>
      </c>
    </row>
    <row r="251">
      <c r="A251" t="b">
        <v>0</v>
      </c>
      <c r="B251" t="n">
        <v>250</v>
      </c>
      <c r="C251" t="inlineStr">
        <is>
          <t>Y1</t>
        </is>
      </c>
      <c r="D251" t="inlineStr">
        <is>
          <t>styext</t>
        </is>
      </c>
      <c r="E251" t="n">
        <v>7682</v>
      </c>
      <c r="F251" t="n">
        <v>0.015</v>
      </c>
      <c r="G251" t="inlineStr">
        <is>
          <t>fenepm</t>
        </is>
      </c>
      <c r="H251" t="inlineStr">
        <is>
          <t>c2d2</t>
        </is>
      </c>
      <c r="I251" t="n">
        <v>0.046388</v>
      </c>
      <c r="J251" t="n">
        <v>1</v>
      </c>
      <c r="K251" t="inlineStr">
        <is>
          <t>clasen_dep</t>
        </is>
      </c>
      <c r="L251" t="inlineStr">
        <is>
          <t>julia/experiments/tnwpaper/outputs/exptl_comparison</t>
        </is>
      </c>
      <c r="M251" t="inlineStr">
        <is>
          <t>SUPERSEDED: DEP c/c* geometric (use clasen_dep_km)</t>
        </is>
      </c>
    </row>
    <row r="252">
      <c r="A252" t="b">
        <v>0</v>
      </c>
      <c r="B252" t="n">
        <v>251</v>
      </c>
      <c r="C252" t="inlineStr">
        <is>
          <t>Y1</t>
        </is>
      </c>
      <c r="D252" t="inlineStr">
        <is>
          <t>caber</t>
        </is>
      </c>
      <c r="E252" t="n">
        <v>7682</v>
      </c>
      <c r="F252" t="n">
        <v>0.015</v>
      </c>
      <c r="G252" t="inlineStr">
        <is>
          <t>fenepm</t>
        </is>
      </c>
      <c r="H252" t="inlineStr">
        <is>
          <t>constant</t>
        </is>
      </c>
      <c r="I252" t="n">
        <v>0.046388</v>
      </c>
      <c r="J252" t="inlineStr">
        <is>
          <t>[0.01, 0.03, 0.1, 0.3, 1, 3, 10, 30, 100]</t>
        </is>
      </c>
      <c r="K252" t="inlineStr">
        <is>
          <t>clasen_dep</t>
        </is>
      </c>
      <c r="L252" t="inlineStr">
        <is>
          <t>julia/experiments/tnwpaper/outputs/exptl_comparison</t>
        </is>
      </c>
      <c r="M252" t="inlineStr">
        <is>
          <t>SUPERSEDED: DEP c/c* geometric (use clasen_dep_km)</t>
        </is>
      </c>
    </row>
    <row r="253">
      <c r="A253" t="b">
        <v>0</v>
      </c>
      <c r="B253" t="n">
        <v>252</v>
      </c>
      <c r="C253" t="inlineStr">
        <is>
          <t>Y1</t>
        </is>
      </c>
      <c r="D253" t="inlineStr">
        <is>
          <t>caber</t>
        </is>
      </c>
      <c r="E253" t="n">
        <v>7682</v>
      </c>
      <c r="F253" t="n">
        <v>0.015</v>
      </c>
      <c r="G253" t="inlineStr">
        <is>
          <t>fenepm</t>
        </is>
      </c>
      <c r="H253" t="inlineStr">
        <is>
          <t>c2d2</t>
        </is>
      </c>
      <c r="I253" t="n">
        <v>0.046388</v>
      </c>
      <c r="J253" t="inlineStr">
        <is>
          <t>[0.01, 0.03, 0.1, 0.3, 1, 3, 10, 30, 100]</t>
        </is>
      </c>
      <c r="K253" t="inlineStr">
        <is>
          <t>clasen_dep</t>
        </is>
      </c>
      <c r="L253" t="inlineStr">
        <is>
          <t>julia/experiments/tnwpaper/outputs/exptl_comparison</t>
        </is>
      </c>
      <c r="M253" t="inlineStr">
        <is>
          <t>SUPERSEDED: DEP c/c* geometric (use clasen_dep_km)</t>
        </is>
      </c>
    </row>
    <row r="254">
      <c r="A254" t="b">
        <v>0</v>
      </c>
      <c r="B254" t="n">
        <v>253</v>
      </c>
      <c r="C254" t="inlineStr">
        <is>
          <t>Y2</t>
        </is>
      </c>
      <c r="D254" t="inlineStr">
        <is>
          <t>styext</t>
        </is>
      </c>
      <c r="E254" t="n">
        <v>7682</v>
      </c>
      <c r="F254" t="n">
        <v>0.015</v>
      </c>
      <c r="G254" t="inlineStr">
        <is>
          <t>fenepm</t>
        </is>
      </c>
      <c r="H254" t="inlineStr">
        <is>
          <t>constant</t>
        </is>
      </c>
      <c r="I254" t="n">
        <v>0.146585</v>
      </c>
      <c r="J254" t="n">
        <v>1</v>
      </c>
      <c r="K254" t="inlineStr">
        <is>
          <t>clasen_dep</t>
        </is>
      </c>
      <c r="L254" t="inlineStr">
        <is>
          <t>julia/experiments/tnwpaper/outputs/exptl_comparison</t>
        </is>
      </c>
      <c r="M254" t="inlineStr">
        <is>
          <t>SUPERSEDED: DEP c/c* geometric (use clasen_dep_km)</t>
        </is>
      </c>
    </row>
    <row r="255">
      <c r="A255" t="b">
        <v>0</v>
      </c>
      <c r="B255" t="n">
        <v>254</v>
      </c>
      <c r="C255" t="inlineStr">
        <is>
          <t>Y2</t>
        </is>
      </c>
      <c r="D255" t="inlineStr">
        <is>
          <t>styext</t>
        </is>
      </c>
      <c r="E255" t="n">
        <v>7682</v>
      </c>
      <c r="F255" t="n">
        <v>0.015</v>
      </c>
      <c r="G255" t="inlineStr">
        <is>
          <t>fenepm</t>
        </is>
      </c>
      <c r="H255" t="inlineStr">
        <is>
          <t>c2d2</t>
        </is>
      </c>
      <c r="I255" t="n">
        <v>0.146585</v>
      </c>
      <c r="J255" t="n">
        <v>1</v>
      </c>
      <c r="K255" t="inlineStr">
        <is>
          <t>clasen_dep</t>
        </is>
      </c>
      <c r="L255" t="inlineStr">
        <is>
          <t>julia/experiments/tnwpaper/outputs/exptl_comparison</t>
        </is>
      </c>
      <c r="M255" t="inlineStr">
        <is>
          <t>SUPERSEDED: DEP c/c* geometric (use clasen_dep_km)</t>
        </is>
      </c>
    </row>
    <row r="256">
      <c r="A256" t="b">
        <v>0</v>
      </c>
      <c r="B256" t="n">
        <v>255</v>
      </c>
      <c r="C256" t="inlineStr">
        <is>
          <t>Y2</t>
        </is>
      </c>
      <c r="D256" t="inlineStr">
        <is>
          <t>caber</t>
        </is>
      </c>
      <c r="E256" t="n">
        <v>7682</v>
      </c>
      <c r="F256" t="n">
        <v>0.015</v>
      </c>
      <c r="G256" t="inlineStr">
        <is>
          <t>fenepm</t>
        </is>
      </c>
      <c r="H256" t="inlineStr">
        <is>
          <t>constant</t>
        </is>
      </c>
      <c r="I256" t="n">
        <v>0.146585</v>
      </c>
      <c r="J256" t="inlineStr">
        <is>
          <t>[0.01, 0.03, 0.1, 0.3, 1, 3, 10, 30, 100]</t>
        </is>
      </c>
      <c r="K256" t="inlineStr">
        <is>
          <t>clasen_dep</t>
        </is>
      </c>
      <c r="L256" t="inlineStr">
        <is>
          <t>julia/experiments/tnwpaper/outputs/exptl_comparison</t>
        </is>
      </c>
      <c r="M256" t="inlineStr">
        <is>
          <t>SUPERSEDED: DEP c/c* geometric (use clasen_dep_km)</t>
        </is>
      </c>
    </row>
    <row r="257">
      <c r="A257" t="b">
        <v>0</v>
      </c>
      <c r="B257" t="n">
        <v>256</v>
      </c>
      <c r="C257" t="inlineStr">
        <is>
          <t>Y2</t>
        </is>
      </c>
      <c r="D257" t="inlineStr">
        <is>
          <t>caber</t>
        </is>
      </c>
      <c r="E257" t="n">
        <v>7682</v>
      </c>
      <c r="F257" t="n">
        <v>0.015</v>
      </c>
      <c r="G257" t="inlineStr">
        <is>
          <t>fenepm</t>
        </is>
      </c>
      <c r="H257" t="inlineStr">
        <is>
          <t>c2d2</t>
        </is>
      </c>
      <c r="I257" t="n">
        <v>0.146585</v>
      </c>
      <c r="J257" t="inlineStr">
        <is>
          <t>[0.01, 0.03, 0.1, 0.3, 1, 3, 10, 30, 100]</t>
        </is>
      </c>
      <c r="K257" t="inlineStr">
        <is>
          <t>clasen_dep</t>
        </is>
      </c>
      <c r="L257" t="inlineStr">
        <is>
          <t>julia/experiments/tnwpaper/outputs/exptl_comparison</t>
        </is>
      </c>
      <c r="M257" t="inlineStr">
        <is>
          <t>SUPERSEDED: DEP c/c* geometric (use clasen_dep_km)</t>
        </is>
      </c>
    </row>
    <row r="258">
      <c r="A258" t="b">
        <v>0</v>
      </c>
      <c r="B258" t="n">
        <v>257</v>
      </c>
      <c r="C258" t="inlineStr">
        <is>
          <t>Y3</t>
        </is>
      </c>
      <c r="D258" t="inlineStr">
        <is>
          <t>styext</t>
        </is>
      </c>
      <c r="E258" t="n">
        <v>7682</v>
      </c>
      <c r="F258" t="n">
        <v>0.015</v>
      </c>
      <c r="G258" t="inlineStr">
        <is>
          <t>fenepm</t>
        </is>
      </c>
      <c r="H258" t="inlineStr">
        <is>
          <t>constant</t>
        </is>
      </c>
      <c r="I258" t="n">
        <v>0.463878</v>
      </c>
      <c r="J258" t="n">
        <v>1</v>
      </c>
      <c r="K258" t="inlineStr">
        <is>
          <t>clasen_dep</t>
        </is>
      </c>
      <c r="L258" t="inlineStr">
        <is>
          <t>julia/experiments/tnwpaper/outputs/exptl_comparison</t>
        </is>
      </c>
      <c r="M258" t="inlineStr">
        <is>
          <t>SUPERSEDED: DEP c/c* geometric (use clasen_dep_km)</t>
        </is>
      </c>
    </row>
    <row r="259">
      <c r="A259" t="b">
        <v>0</v>
      </c>
      <c r="B259" t="n">
        <v>258</v>
      </c>
      <c r="C259" t="inlineStr">
        <is>
          <t>Y3</t>
        </is>
      </c>
      <c r="D259" t="inlineStr">
        <is>
          <t>styext</t>
        </is>
      </c>
      <c r="E259" t="n">
        <v>7682</v>
      </c>
      <c r="F259" t="n">
        <v>0.015</v>
      </c>
      <c r="G259" t="inlineStr">
        <is>
          <t>fenepm</t>
        </is>
      </c>
      <c r="H259" t="inlineStr">
        <is>
          <t>c2d2</t>
        </is>
      </c>
      <c r="I259" t="n">
        <v>0.463878</v>
      </c>
      <c r="J259" t="n">
        <v>1</v>
      </c>
      <c r="K259" t="inlineStr">
        <is>
          <t>clasen_dep</t>
        </is>
      </c>
      <c r="L259" t="inlineStr">
        <is>
          <t>julia/experiments/tnwpaper/outputs/exptl_comparison</t>
        </is>
      </c>
      <c r="M259" t="inlineStr">
        <is>
          <t>SUPERSEDED: DEP c/c* geometric (use clasen_dep_km)</t>
        </is>
      </c>
    </row>
    <row r="260">
      <c r="A260" t="b">
        <v>0</v>
      </c>
      <c r="B260" t="n">
        <v>259</v>
      </c>
      <c r="C260" t="inlineStr">
        <is>
          <t>Y3</t>
        </is>
      </c>
      <c r="D260" t="inlineStr">
        <is>
          <t>caber</t>
        </is>
      </c>
      <c r="E260" t="n">
        <v>7682</v>
      </c>
      <c r="F260" t="n">
        <v>0.015</v>
      </c>
      <c r="G260" t="inlineStr">
        <is>
          <t>fenepm</t>
        </is>
      </c>
      <c r="H260" t="inlineStr">
        <is>
          <t>constant</t>
        </is>
      </c>
      <c r="I260" t="n">
        <v>0.463878</v>
      </c>
      <c r="J260" t="inlineStr">
        <is>
          <t>[0.01, 0.03, 0.1, 0.3, 1, 3, 10, 30, 100]</t>
        </is>
      </c>
      <c r="K260" t="inlineStr">
        <is>
          <t>clasen_dep</t>
        </is>
      </c>
      <c r="L260" t="inlineStr">
        <is>
          <t>julia/experiments/tnwpaper/outputs/exptl_comparison</t>
        </is>
      </c>
      <c r="M260" t="inlineStr">
        <is>
          <t>SUPERSEDED: DEP c/c* geometric (use clasen_dep_km)</t>
        </is>
      </c>
    </row>
    <row r="261">
      <c r="A261" t="b">
        <v>0</v>
      </c>
      <c r="B261" t="n">
        <v>260</v>
      </c>
      <c r="C261" t="inlineStr">
        <is>
          <t>Y3</t>
        </is>
      </c>
      <c r="D261" t="inlineStr">
        <is>
          <t>caber</t>
        </is>
      </c>
      <c r="E261" t="n">
        <v>7682</v>
      </c>
      <c r="F261" t="n">
        <v>0.015</v>
      </c>
      <c r="G261" t="inlineStr">
        <is>
          <t>fenepm</t>
        </is>
      </c>
      <c r="H261" t="inlineStr">
        <is>
          <t>c2d2</t>
        </is>
      </c>
      <c r="I261" t="n">
        <v>0.463878</v>
      </c>
      <c r="J261" t="inlineStr">
        <is>
          <t>[0.01, 0.03, 0.1, 0.3, 1, 3, 10, 30, 100]</t>
        </is>
      </c>
      <c r="K261" t="inlineStr">
        <is>
          <t>clasen_dep</t>
        </is>
      </c>
      <c r="L261" t="inlineStr">
        <is>
          <t>julia/experiments/tnwpaper/outputs/exptl_comparison</t>
        </is>
      </c>
      <c r="M261" t="inlineStr">
        <is>
          <t>SUPERSEDED: DEP c/c* geometric (use clasen_dep_km)</t>
        </is>
      </c>
    </row>
    <row r="262">
      <c r="A262" t="b">
        <v>0</v>
      </c>
      <c r="B262" t="n">
        <v>261</v>
      </c>
      <c r="C262" t="inlineStr">
        <is>
          <t>Y4</t>
        </is>
      </c>
      <c r="D262" t="inlineStr">
        <is>
          <t>styext</t>
        </is>
      </c>
      <c r="E262" t="n">
        <v>7682</v>
      </c>
      <c r="F262" t="n">
        <v>0.015</v>
      </c>
      <c r="G262" t="inlineStr">
        <is>
          <t>fenepm</t>
        </is>
      </c>
      <c r="H262" t="inlineStr">
        <is>
          <t>constant</t>
        </is>
      </c>
      <c r="I262" t="n">
        <v>1.465854</v>
      </c>
      <c r="J262" t="n">
        <v>1</v>
      </c>
      <c r="K262" t="inlineStr">
        <is>
          <t>clasen_dep</t>
        </is>
      </c>
      <c r="L262" t="inlineStr">
        <is>
          <t>julia/experiments/tnwpaper/outputs/exptl_comparison</t>
        </is>
      </c>
      <c r="M262" t="inlineStr">
        <is>
          <t>SUPERSEDED: DEP c/c* geometric (use clasen_dep_km)</t>
        </is>
      </c>
    </row>
    <row r="263">
      <c r="A263" t="b">
        <v>0</v>
      </c>
      <c r="B263" t="n">
        <v>262</v>
      </c>
      <c r="C263" t="inlineStr">
        <is>
          <t>Y4</t>
        </is>
      </c>
      <c r="D263" t="inlineStr">
        <is>
          <t>styext</t>
        </is>
      </c>
      <c r="E263" t="n">
        <v>7682</v>
      </c>
      <c r="F263" t="n">
        <v>0.015</v>
      </c>
      <c r="G263" t="inlineStr">
        <is>
          <t>fenepm</t>
        </is>
      </c>
      <c r="H263" t="inlineStr">
        <is>
          <t>c2d2</t>
        </is>
      </c>
      <c r="I263" t="n">
        <v>1.465854</v>
      </c>
      <c r="J263" t="n">
        <v>1</v>
      </c>
      <c r="K263" t="inlineStr">
        <is>
          <t>clasen_dep</t>
        </is>
      </c>
      <c r="L263" t="inlineStr">
        <is>
          <t>julia/experiments/tnwpaper/outputs/exptl_comparison</t>
        </is>
      </c>
      <c r="M263" t="inlineStr">
        <is>
          <t>SUPERSEDED: DEP c/c* geometric (use clasen_dep_km)</t>
        </is>
      </c>
    </row>
    <row r="264">
      <c r="A264" t="b">
        <v>0</v>
      </c>
      <c r="B264" t="n">
        <v>263</v>
      </c>
      <c r="C264" t="inlineStr">
        <is>
          <t>Y4</t>
        </is>
      </c>
      <c r="D264" t="inlineStr">
        <is>
          <t>caber</t>
        </is>
      </c>
      <c r="E264" t="n">
        <v>7682</v>
      </c>
      <c r="F264" t="n">
        <v>0.015</v>
      </c>
      <c r="G264" t="inlineStr">
        <is>
          <t>fenepm</t>
        </is>
      </c>
      <c r="H264" t="inlineStr">
        <is>
          <t>constant</t>
        </is>
      </c>
      <c r="I264" t="n">
        <v>1.465854</v>
      </c>
      <c r="J264" t="inlineStr">
        <is>
          <t>[0.01, 0.03, 0.1, 0.3, 1, 3, 10, 30, 100]</t>
        </is>
      </c>
      <c r="K264" t="inlineStr">
        <is>
          <t>clasen_dep</t>
        </is>
      </c>
      <c r="L264" t="inlineStr">
        <is>
          <t>julia/experiments/tnwpaper/outputs/exptl_comparison</t>
        </is>
      </c>
      <c r="M264" t="inlineStr">
        <is>
          <t>SUPERSEDED: DEP c/c* geometric (use clasen_dep_km)</t>
        </is>
      </c>
    </row>
    <row r="265">
      <c r="A265" t="b">
        <v>0</v>
      </c>
      <c r="B265" t="n">
        <v>264</v>
      </c>
      <c r="C265" t="inlineStr">
        <is>
          <t>Y4</t>
        </is>
      </c>
      <c r="D265" t="inlineStr">
        <is>
          <t>caber</t>
        </is>
      </c>
      <c r="E265" t="n">
        <v>7682</v>
      </c>
      <c r="F265" t="n">
        <v>0.015</v>
      </c>
      <c r="G265" t="inlineStr">
        <is>
          <t>fenepm</t>
        </is>
      </c>
      <c r="H265" t="inlineStr">
        <is>
          <t>c2d2</t>
        </is>
      </c>
      <c r="I265" t="n">
        <v>1.465854</v>
      </c>
      <c r="J265" t="inlineStr">
        <is>
          <t>[0.01, 0.03, 0.1, 0.3, 1, 3, 10, 30, 100]</t>
        </is>
      </c>
      <c r="K265" t="inlineStr">
        <is>
          <t>clasen_dep</t>
        </is>
      </c>
      <c r="L265" t="inlineStr">
        <is>
          <t>julia/experiments/tnwpaper/outputs/exptl_comparison</t>
        </is>
      </c>
      <c r="M265" t="inlineStr">
        <is>
          <t>SUPERSEDED: DEP c/c* geometric (use clasen_dep_km)</t>
        </is>
      </c>
    </row>
    <row r="266">
      <c r="A266" t="b">
        <v>0</v>
      </c>
      <c r="B266" t="n">
        <v>265</v>
      </c>
      <c r="C266" t="inlineStr">
        <is>
          <t>A1</t>
        </is>
      </c>
      <c r="D266" t="inlineStr">
        <is>
          <t>styext</t>
        </is>
      </c>
      <c r="E266" t="n">
        <v>2426</v>
      </c>
      <c r="F266" t="n">
        <v>0.03</v>
      </c>
      <c r="G266" t="inlineStr">
        <is>
          <t>fenepm</t>
        </is>
      </c>
      <c r="H266" t="inlineStr">
        <is>
          <t>constant</t>
        </is>
      </c>
      <c r="I266" t="n">
        <v>0.002392</v>
      </c>
      <c r="J266" t="n">
        <v>1</v>
      </c>
      <c r="K266" t="inlineStr">
        <is>
          <t>clasen_boger</t>
        </is>
      </c>
      <c r="L266" t="inlineStr">
        <is>
          <t>julia/experiments/tnwpaper/outputs/exptl_comparison</t>
        </is>
      </c>
      <c r="M266" t="inlineStr">
        <is>
          <t>SUPERSEDED: Boger A-D c/c* geometric (use clasen_boger_km)</t>
        </is>
      </c>
    </row>
    <row r="267">
      <c r="A267" t="b">
        <v>0</v>
      </c>
      <c r="B267" t="n">
        <v>266</v>
      </c>
      <c r="C267" t="inlineStr">
        <is>
          <t>A1</t>
        </is>
      </c>
      <c r="D267" t="inlineStr">
        <is>
          <t>styext</t>
        </is>
      </c>
      <c r="E267" t="n">
        <v>2426</v>
      </c>
      <c r="F267" t="n">
        <v>0.03</v>
      </c>
      <c r="G267" t="inlineStr">
        <is>
          <t>fenepm</t>
        </is>
      </c>
      <c r="H267" t="inlineStr">
        <is>
          <t>c2d2</t>
        </is>
      </c>
      <c r="I267" t="n">
        <v>0.002392</v>
      </c>
      <c r="J267" t="n">
        <v>1</v>
      </c>
      <c r="K267" t="inlineStr">
        <is>
          <t>clasen_boger</t>
        </is>
      </c>
      <c r="L267" t="inlineStr">
        <is>
          <t>julia/experiments/tnwpaper/outputs/exptl_comparison</t>
        </is>
      </c>
      <c r="M267" t="inlineStr">
        <is>
          <t>SUPERSEDED: Boger A-D c/c* geometric (use clasen_boger_km)</t>
        </is>
      </c>
    </row>
    <row r="268">
      <c r="A268" t="b">
        <v>0</v>
      </c>
      <c r="B268" t="n">
        <v>267</v>
      </c>
      <c r="C268" t="inlineStr">
        <is>
          <t>A1</t>
        </is>
      </c>
      <c r="D268" t="inlineStr">
        <is>
          <t>caber</t>
        </is>
      </c>
      <c r="E268" t="n">
        <v>2426</v>
      </c>
      <c r="F268" t="n">
        <v>0.03</v>
      </c>
      <c r="G268" t="inlineStr">
        <is>
          <t>fenepm</t>
        </is>
      </c>
      <c r="H268" t="inlineStr">
        <is>
          <t>constant</t>
        </is>
      </c>
      <c r="I268" t="n">
        <v>0.002392</v>
      </c>
      <c r="J268" t="inlineStr">
        <is>
          <t>[0.01, 0.03, 0.1, 0.3, 1, 3, 10, 30, 100]</t>
        </is>
      </c>
      <c r="K268" t="inlineStr">
        <is>
          <t>clasen_boger</t>
        </is>
      </c>
      <c r="L268" t="inlineStr">
        <is>
          <t>julia/experiments/tnwpaper/outputs/exptl_comparison</t>
        </is>
      </c>
      <c r="M268" t="inlineStr">
        <is>
          <t>SUPERSEDED: Boger A-D c/c* geometric (use clasen_boger_km)</t>
        </is>
      </c>
    </row>
    <row r="269">
      <c r="A269" t="b">
        <v>0</v>
      </c>
      <c r="B269" t="n">
        <v>268</v>
      </c>
      <c r="C269" t="inlineStr">
        <is>
          <t>A1</t>
        </is>
      </c>
      <c r="D269" t="inlineStr">
        <is>
          <t>caber</t>
        </is>
      </c>
      <c r="E269" t="n">
        <v>2426</v>
      </c>
      <c r="F269" t="n">
        <v>0.03</v>
      </c>
      <c r="G269" t="inlineStr">
        <is>
          <t>fenepm</t>
        </is>
      </c>
      <c r="H269" t="inlineStr">
        <is>
          <t>c2d2</t>
        </is>
      </c>
      <c r="I269" t="n">
        <v>0.002392</v>
      </c>
      <c r="J269" t="inlineStr">
        <is>
          <t>[0.01, 0.03, 0.1, 0.3, 1, 3, 10, 30, 100]</t>
        </is>
      </c>
      <c r="K269" t="inlineStr">
        <is>
          <t>clasen_boger</t>
        </is>
      </c>
      <c r="L269" t="inlineStr">
        <is>
          <t>julia/experiments/tnwpaper/outputs/exptl_comparison</t>
        </is>
      </c>
      <c r="M269" t="inlineStr">
        <is>
          <t>SUPERSEDED: Boger A-D c/c* geometric (use clasen_boger_km)</t>
        </is>
      </c>
    </row>
    <row r="270">
      <c r="A270" t="b">
        <v>0</v>
      </c>
      <c r="B270" t="n">
        <v>269</v>
      </c>
      <c r="C270" t="inlineStr">
        <is>
          <t>A2</t>
        </is>
      </c>
      <c r="D270" t="inlineStr">
        <is>
          <t>styext</t>
        </is>
      </c>
      <c r="E270" t="n">
        <v>2426</v>
      </c>
      <c r="F270" t="n">
        <v>0.03</v>
      </c>
      <c r="G270" t="inlineStr">
        <is>
          <t>fenepm</t>
        </is>
      </c>
      <c r="H270" t="inlineStr">
        <is>
          <t>constant</t>
        </is>
      </c>
      <c r="I270" t="n">
        <v>0.011961</v>
      </c>
      <c r="J270" t="n">
        <v>1</v>
      </c>
      <c r="K270" t="inlineStr">
        <is>
          <t>clasen_boger</t>
        </is>
      </c>
      <c r="L270" t="inlineStr">
        <is>
          <t>julia/experiments/tnwpaper/outputs/exptl_comparison</t>
        </is>
      </c>
      <c r="M270" t="inlineStr">
        <is>
          <t>SUPERSEDED: Boger A-D c/c* geometric (use clasen_boger_km)</t>
        </is>
      </c>
    </row>
    <row r="271">
      <c r="A271" t="b">
        <v>0</v>
      </c>
      <c r="B271" t="n">
        <v>270</v>
      </c>
      <c r="C271" t="inlineStr">
        <is>
          <t>A2</t>
        </is>
      </c>
      <c r="D271" t="inlineStr">
        <is>
          <t>styext</t>
        </is>
      </c>
      <c r="E271" t="n">
        <v>2426</v>
      </c>
      <c r="F271" t="n">
        <v>0.03</v>
      </c>
      <c r="G271" t="inlineStr">
        <is>
          <t>fenepm</t>
        </is>
      </c>
      <c r="H271" t="inlineStr">
        <is>
          <t>c2d2</t>
        </is>
      </c>
      <c r="I271" t="n">
        <v>0.011961</v>
      </c>
      <c r="J271" t="n">
        <v>1</v>
      </c>
      <c r="K271" t="inlineStr">
        <is>
          <t>clasen_boger</t>
        </is>
      </c>
      <c r="L271" t="inlineStr">
        <is>
          <t>julia/experiments/tnwpaper/outputs/exptl_comparison</t>
        </is>
      </c>
      <c r="M271" t="inlineStr">
        <is>
          <t>SUPERSEDED: Boger A-D c/c* geometric (use clasen_boger_km)</t>
        </is>
      </c>
    </row>
    <row r="272">
      <c r="A272" t="b">
        <v>0</v>
      </c>
      <c r="B272" t="n">
        <v>271</v>
      </c>
      <c r="C272" t="inlineStr">
        <is>
          <t>A2</t>
        </is>
      </c>
      <c r="D272" t="inlineStr">
        <is>
          <t>caber</t>
        </is>
      </c>
      <c r="E272" t="n">
        <v>2426</v>
      </c>
      <c r="F272" t="n">
        <v>0.03</v>
      </c>
      <c r="G272" t="inlineStr">
        <is>
          <t>fenepm</t>
        </is>
      </c>
      <c r="H272" t="inlineStr">
        <is>
          <t>constant</t>
        </is>
      </c>
      <c r="I272" t="n">
        <v>0.011961</v>
      </c>
      <c r="J272" t="inlineStr">
        <is>
          <t>[0.01, 0.03, 0.1, 0.3, 1, 3, 10, 30, 100]</t>
        </is>
      </c>
      <c r="K272" t="inlineStr">
        <is>
          <t>clasen_boger</t>
        </is>
      </c>
      <c r="L272" t="inlineStr">
        <is>
          <t>julia/experiments/tnwpaper/outputs/exptl_comparison</t>
        </is>
      </c>
      <c r="M272" t="inlineStr">
        <is>
          <t>SUPERSEDED: Boger A-D c/c* geometric (use clasen_boger_km)</t>
        </is>
      </c>
    </row>
    <row r="273">
      <c r="A273" t="b">
        <v>0</v>
      </c>
      <c r="B273" t="n">
        <v>272</v>
      </c>
      <c r="C273" t="inlineStr">
        <is>
          <t>A2</t>
        </is>
      </c>
      <c r="D273" t="inlineStr">
        <is>
          <t>caber</t>
        </is>
      </c>
      <c r="E273" t="n">
        <v>2426</v>
      </c>
      <c r="F273" t="n">
        <v>0.03</v>
      </c>
      <c r="G273" t="inlineStr">
        <is>
          <t>fenepm</t>
        </is>
      </c>
      <c r="H273" t="inlineStr">
        <is>
          <t>c2d2</t>
        </is>
      </c>
      <c r="I273" t="n">
        <v>0.011961</v>
      </c>
      <c r="J273" t="inlineStr">
        <is>
          <t>[0.01, 0.03, 0.1, 0.3, 1, 3, 10, 30, 100]</t>
        </is>
      </c>
      <c r="K273" t="inlineStr">
        <is>
          <t>clasen_boger</t>
        </is>
      </c>
      <c r="L273" t="inlineStr">
        <is>
          <t>julia/experiments/tnwpaper/outputs/exptl_comparison</t>
        </is>
      </c>
      <c r="M273" t="inlineStr">
        <is>
          <t>SUPERSEDED: Boger A-D c/c* geometric (use clasen_boger_km)</t>
        </is>
      </c>
    </row>
    <row r="274">
      <c r="A274" t="b">
        <v>0</v>
      </c>
      <c r="B274" t="n">
        <v>273</v>
      </c>
      <c r="C274" t="inlineStr">
        <is>
          <t>A3</t>
        </is>
      </c>
      <c r="D274" t="inlineStr">
        <is>
          <t>styext</t>
        </is>
      </c>
      <c r="E274" t="n">
        <v>2426</v>
      </c>
      <c r="F274" t="n">
        <v>0.03</v>
      </c>
      <c r="G274" t="inlineStr">
        <is>
          <t>fenepm</t>
        </is>
      </c>
      <c r="H274" t="inlineStr">
        <is>
          <t>constant</t>
        </is>
      </c>
      <c r="I274" t="n">
        <v>0.023923</v>
      </c>
      <c r="J274" t="n">
        <v>1</v>
      </c>
      <c r="K274" t="inlineStr">
        <is>
          <t>clasen_boger</t>
        </is>
      </c>
      <c r="L274" t="inlineStr">
        <is>
          <t>julia/experiments/tnwpaper/outputs/exptl_comparison</t>
        </is>
      </c>
      <c r="M274" t="inlineStr">
        <is>
          <t>SUPERSEDED: Boger A-D c/c* geometric (use clasen_boger_km)</t>
        </is>
      </c>
    </row>
    <row r="275">
      <c r="A275" t="b">
        <v>0</v>
      </c>
      <c r="B275" t="n">
        <v>274</v>
      </c>
      <c r="C275" t="inlineStr">
        <is>
          <t>A3</t>
        </is>
      </c>
      <c r="D275" t="inlineStr">
        <is>
          <t>styext</t>
        </is>
      </c>
      <c r="E275" t="n">
        <v>2426</v>
      </c>
      <c r="F275" t="n">
        <v>0.03</v>
      </c>
      <c r="G275" t="inlineStr">
        <is>
          <t>fenepm</t>
        </is>
      </c>
      <c r="H275" t="inlineStr">
        <is>
          <t>c2d2</t>
        </is>
      </c>
      <c r="I275" t="n">
        <v>0.023923</v>
      </c>
      <c r="J275" t="n">
        <v>1</v>
      </c>
      <c r="K275" t="inlineStr">
        <is>
          <t>clasen_boger</t>
        </is>
      </c>
      <c r="L275" t="inlineStr">
        <is>
          <t>julia/experiments/tnwpaper/outputs/exptl_comparison</t>
        </is>
      </c>
      <c r="M275" t="inlineStr">
        <is>
          <t>SUPERSEDED: Boger A-D c/c* geometric (use clasen_boger_km)</t>
        </is>
      </c>
    </row>
    <row r="276">
      <c r="A276" t="b">
        <v>0</v>
      </c>
      <c r="B276" t="n">
        <v>275</v>
      </c>
      <c r="C276" t="inlineStr">
        <is>
          <t>A3</t>
        </is>
      </c>
      <c r="D276" t="inlineStr">
        <is>
          <t>caber</t>
        </is>
      </c>
      <c r="E276" t="n">
        <v>2426</v>
      </c>
      <c r="F276" t="n">
        <v>0.03</v>
      </c>
      <c r="G276" t="inlineStr">
        <is>
          <t>fenepm</t>
        </is>
      </c>
      <c r="H276" t="inlineStr">
        <is>
          <t>constant</t>
        </is>
      </c>
      <c r="I276" t="n">
        <v>0.023923</v>
      </c>
      <c r="J276" t="inlineStr">
        <is>
          <t>[0.01, 0.03, 0.1, 0.3, 1, 3, 10, 30, 100]</t>
        </is>
      </c>
      <c r="K276" t="inlineStr">
        <is>
          <t>clasen_boger</t>
        </is>
      </c>
      <c r="L276" t="inlineStr">
        <is>
          <t>julia/experiments/tnwpaper/outputs/exptl_comparison</t>
        </is>
      </c>
      <c r="M276" t="inlineStr">
        <is>
          <t>SUPERSEDED: Boger A-D c/c* geometric (use clasen_boger_km)</t>
        </is>
      </c>
    </row>
    <row r="277">
      <c r="A277" t="b">
        <v>0</v>
      </c>
      <c r="B277" t="n">
        <v>276</v>
      </c>
      <c r="C277" t="inlineStr">
        <is>
          <t>A3</t>
        </is>
      </c>
      <c r="D277" t="inlineStr">
        <is>
          <t>caber</t>
        </is>
      </c>
      <c r="E277" t="n">
        <v>2426</v>
      </c>
      <c r="F277" t="n">
        <v>0.03</v>
      </c>
      <c r="G277" t="inlineStr">
        <is>
          <t>fenepm</t>
        </is>
      </c>
      <c r="H277" t="inlineStr">
        <is>
          <t>c2d2</t>
        </is>
      </c>
      <c r="I277" t="n">
        <v>0.023923</v>
      </c>
      <c r="J277" t="inlineStr">
        <is>
          <t>[0.01, 0.03, 0.1, 0.3, 1, 3, 10, 30, 100]</t>
        </is>
      </c>
      <c r="K277" t="inlineStr">
        <is>
          <t>clasen_boger</t>
        </is>
      </c>
      <c r="L277" t="inlineStr">
        <is>
          <t>julia/experiments/tnwpaper/outputs/exptl_comparison</t>
        </is>
      </c>
      <c r="M277" t="inlineStr">
        <is>
          <t>SUPERSEDED: Boger A-D c/c* geometric (use clasen_boger_km)</t>
        </is>
      </c>
    </row>
    <row r="278">
      <c r="A278" t="b">
        <v>0</v>
      </c>
      <c r="B278" t="n">
        <v>277</v>
      </c>
      <c r="C278" t="inlineStr">
        <is>
          <t>A4</t>
        </is>
      </c>
      <c r="D278" t="inlineStr">
        <is>
          <t>styext</t>
        </is>
      </c>
      <c r="E278" t="n">
        <v>2426</v>
      </c>
      <c r="F278" t="n">
        <v>0.03</v>
      </c>
      <c r="G278" t="inlineStr">
        <is>
          <t>fenepm</t>
        </is>
      </c>
      <c r="H278" t="inlineStr">
        <is>
          <t>constant</t>
        </is>
      </c>
      <c r="I278" t="n">
        <v>0.059806</v>
      </c>
      <c r="J278" t="n">
        <v>1</v>
      </c>
      <c r="K278" t="inlineStr">
        <is>
          <t>clasen_boger</t>
        </is>
      </c>
      <c r="L278" t="inlineStr">
        <is>
          <t>julia/experiments/tnwpaper/outputs/exptl_comparison</t>
        </is>
      </c>
      <c r="M278" t="inlineStr">
        <is>
          <t>SUPERSEDED: Boger A-D c/c* geometric (use clasen_boger_km)</t>
        </is>
      </c>
    </row>
    <row r="279">
      <c r="A279" t="b">
        <v>0</v>
      </c>
      <c r="B279" t="n">
        <v>278</v>
      </c>
      <c r="C279" t="inlineStr">
        <is>
          <t>A4</t>
        </is>
      </c>
      <c r="D279" t="inlineStr">
        <is>
          <t>styext</t>
        </is>
      </c>
      <c r="E279" t="n">
        <v>2426</v>
      </c>
      <c r="F279" t="n">
        <v>0.03</v>
      </c>
      <c r="G279" t="inlineStr">
        <is>
          <t>fenepm</t>
        </is>
      </c>
      <c r="H279" t="inlineStr">
        <is>
          <t>c2d2</t>
        </is>
      </c>
      <c r="I279" t="n">
        <v>0.059806</v>
      </c>
      <c r="J279" t="n">
        <v>1</v>
      </c>
      <c r="K279" t="inlineStr">
        <is>
          <t>clasen_boger</t>
        </is>
      </c>
      <c r="L279" t="inlineStr">
        <is>
          <t>julia/experiments/tnwpaper/outputs/exptl_comparison</t>
        </is>
      </c>
      <c r="M279" t="inlineStr">
        <is>
          <t>SUPERSEDED: Boger A-D c/c* geometric (use clasen_boger_km)</t>
        </is>
      </c>
    </row>
    <row r="280">
      <c r="A280" t="b">
        <v>0</v>
      </c>
      <c r="B280" t="n">
        <v>279</v>
      </c>
      <c r="C280" t="inlineStr">
        <is>
          <t>A4</t>
        </is>
      </c>
      <c r="D280" t="inlineStr">
        <is>
          <t>caber</t>
        </is>
      </c>
      <c r="E280" t="n">
        <v>2426</v>
      </c>
      <c r="F280" t="n">
        <v>0.03</v>
      </c>
      <c r="G280" t="inlineStr">
        <is>
          <t>fenepm</t>
        </is>
      </c>
      <c r="H280" t="inlineStr">
        <is>
          <t>constant</t>
        </is>
      </c>
      <c r="I280" t="n">
        <v>0.059806</v>
      </c>
      <c r="J280" t="inlineStr">
        <is>
          <t>[0.01, 0.03, 0.1, 0.3, 1, 3, 10, 30, 100]</t>
        </is>
      </c>
      <c r="K280" t="inlineStr">
        <is>
          <t>clasen_boger</t>
        </is>
      </c>
      <c r="L280" t="inlineStr">
        <is>
          <t>julia/experiments/tnwpaper/outputs/exptl_comparison</t>
        </is>
      </c>
      <c r="M280" t="inlineStr">
        <is>
          <t>SUPERSEDED: Boger A-D c/c* geometric (use clasen_boger_km)</t>
        </is>
      </c>
    </row>
    <row r="281">
      <c r="A281" t="b">
        <v>0</v>
      </c>
      <c r="B281" t="n">
        <v>280</v>
      </c>
      <c r="C281" t="inlineStr">
        <is>
          <t>A4</t>
        </is>
      </c>
      <c r="D281" t="inlineStr">
        <is>
          <t>caber</t>
        </is>
      </c>
      <c r="E281" t="n">
        <v>2426</v>
      </c>
      <c r="F281" t="n">
        <v>0.03</v>
      </c>
      <c r="G281" t="inlineStr">
        <is>
          <t>fenepm</t>
        </is>
      </c>
      <c r="H281" t="inlineStr">
        <is>
          <t>c2d2</t>
        </is>
      </c>
      <c r="I281" t="n">
        <v>0.059806</v>
      </c>
      <c r="J281" t="inlineStr">
        <is>
          <t>[0.01, 0.03, 0.1, 0.3, 1, 3, 10, 30, 100]</t>
        </is>
      </c>
      <c r="K281" t="inlineStr">
        <is>
          <t>clasen_boger</t>
        </is>
      </c>
      <c r="L281" t="inlineStr">
        <is>
          <t>julia/experiments/tnwpaper/outputs/exptl_comparison</t>
        </is>
      </c>
      <c r="M281" t="inlineStr">
        <is>
          <t>SUPERSEDED: Boger A-D c/c* geometric (use clasen_boger_km)</t>
        </is>
      </c>
    </row>
    <row r="282">
      <c r="A282" t="b">
        <v>0</v>
      </c>
      <c r="B282" t="n">
        <v>281</v>
      </c>
      <c r="C282" t="inlineStr">
        <is>
          <t>A5</t>
        </is>
      </c>
      <c r="D282" t="inlineStr">
        <is>
          <t>styext</t>
        </is>
      </c>
      <c r="E282" t="n">
        <v>2426</v>
      </c>
      <c r="F282" t="n">
        <v>0.03</v>
      </c>
      <c r="G282" t="inlineStr">
        <is>
          <t>fenepm</t>
        </is>
      </c>
      <c r="H282" t="inlineStr">
        <is>
          <t>constant</t>
        </is>
      </c>
      <c r="I282" t="n">
        <v>0.119613</v>
      </c>
      <c r="J282" t="n">
        <v>1</v>
      </c>
      <c r="K282" t="inlineStr">
        <is>
          <t>clasen_boger</t>
        </is>
      </c>
      <c r="L282" t="inlineStr">
        <is>
          <t>julia/experiments/tnwpaper/outputs/exptl_comparison</t>
        </is>
      </c>
      <c r="M282" t="inlineStr">
        <is>
          <t>SUPERSEDED: Boger A-D c/c* geometric (use clasen_boger_km)</t>
        </is>
      </c>
    </row>
    <row r="283">
      <c r="A283" t="b">
        <v>0</v>
      </c>
      <c r="B283" t="n">
        <v>282</v>
      </c>
      <c r="C283" t="inlineStr">
        <is>
          <t>A5</t>
        </is>
      </c>
      <c r="D283" t="inlineStr">
        <is>
          <t>styext</t>
        </is>
      </c>
      <c r="E283" t="n">
        <v>2426</v>
      </c>
      <c r="F283" t="n">
        <v>0.03</v>
      </c>
      <c r="G283" t="inlineStr">
        <is>
          <t>fenepm</t>
        </is>
      </c>
      <c r="H283" t="inlineStr">
        <is>
          <t>c2d2</t>
        </is>
      </c>
      <c r="I283" t="n">
        <v>0.119613</v>
      </c>
      <c r="J283" t="n">
        <v>1</v>
      </c>
      <c r="K283" t="inlineStr">
        <is>
          <t>clasen_boger</t>
        </is>
      </c>
      <c r="L283" t="inlineStr">
        <is>
          <t>julia/experiments/tnwpaper/outputs/exptl_comparison</t>
        </is>
      </c>
      <c r="M283" t="inlineStr">
        <is>
          <t>SUPERSEDED: Boger A-D c/c* geometric (use clasen_boger_km)</t>
        </is>
      </c>
    </row>
    <row r="284">
      <c r="A284" t="b">
        <v>0</v>
      </c>
      <c r="B284" t="n">
        <v>283</v>
      </c>
      <c r="C284" t="inlineStr">
        <is>
          <t>A5</t>
        </is>
      </c>
      <c r="D284" t="inlineStr">
        <is>
          <t>caber</t>
        </is>
      </c>
      <c r="E284" t="n">
        <v>2426</v>
      </c>
      <c r="F284" t="n">
        <v>0.03</v>
      </c>
      <c r="G284" t="inlineStr">
        <is>
          <t>fenepm</t>
        </is>
      </c>
      <c r="H284" t="inlineStr">
        <is>
          <t>constant</t>
        </is>
      </c>
      <c r="I284" t="n">
        <v>0.119613</v>
      </c>
      <c r="J284" t="inlineStr">
        <is>
          <t>[0.01, 0.03, 0.1, 0.3, 1, 3, 10, 30, 100]</t>
        </is>
      </c>
      <c r="K284" t="inlineStr">
        <is>
          <t>clasen_boger</t>
        </is>
      </c>
      <c r="L284" t="inlineStr">
        <is>
          <t>julia/experiments/tnwpaper/outputs/exptl_comparison</t>
        </is>
      </c>
      <c r="M284" t="inlineStr">
        <is>
          <t>SUPERSEDED: Boger A-D c/c* geometric (use clasen_boger_km)</t>
        </is>
      </c>
    </row>
    <row r="285">
      <c r="A285" t="b">
        <v>0</v>
      </c>
      <c r="B285" t="n">
        <v>284</v>
      </c>
      <c r="C285" t="inlineStr">
        <is>
          <t>A5</t>
        </is>
      </c>
      <c r="D285" t="inlineStr">
        <is>
          <t>caber</t>
        </is>
      </c>
      <c r="E285" t="n">
        <v>2426</v>
      </c>
      <c r="F285" t="n">
        <v>0.03</v>
      </c>
      <c r="G285" t="inlineStr">
        <is>
          <t>fenepm</t>
        </is>
      </c>
      <c r="H285" t="inlineStr">
        <is>
          <t>c2d2</t>
        </is>
      </c>
      <c r="I285" t="n">
        <v>0.119613</v>
      </c>
      <c r="J285" t="inlineStr">
        <is>
          <t>[0.01, 0.03, 0.1, 0.3, 1, 3, 10, 30, 100]</t>
        </is>
      </c>
      <c r="K285" t="inlineStr">
        <is>
          <t>clasen_boger</t>
        </is>
      </c>
      <c r="L285" t="inlineStr">
        <is>
          <t>julia/experiments/tnwpaper/outputs/exptl_comparison</t>
        </is>
      </c>
      <c r="M285" t="inlineStr">
        <is>
          <t>SUPERSEDED: Boger A-D c/c* geometric (use clasen_boger_km)</t>
        </is>
      </c>
    </row>
    <row r="286">
      <c r="A286" t="b">
        <v>0</v>
      </c>
      <c r="B286" t="n">
        <v>285</v>
      </c>
      <c r="C286" t="inlineStr">
        <is>
          <t>B1</t>
        </is>
      </c>
      <c r="D286" t="inlineStr">
        <is>
          <t>styext</t>
        </is>
      </c>
      <c r="E286" t="n">
        <v>3774</v>
      </c>
      <c r="F286" t="n">
        <v>0.03</v>
      </c>
      <c r="G286" t="inlineStr">
        <is>
          <t>fenepm</t>
        </is>
      </c>
      <c r="H286" t="inlineStr">
        <is>
          <t>constant</t>
        </is>
      </c>
      <c r="I286" t="n">
        <v>0.001313</v>
      </c>
      <c r="J286" t="n">
        <v>1</v>
      </c>
      <c r="K286" t="inlineStr">
        <is>
          <t>clasen_boger</t>
        </is>
      </c>
      <c r="L286" t="inlineStr">
        <is>
          <t>julia/experiments/tnwpaper/outputs/exptl_comparison</t>
        </is>
      </c>
      <c r="M286" t="inlineStr">
        <is>
          <t>SUPERSEDED: Boger A-D c/c* geometric (use clasen_boger_km)</t>
        </is>
      </c>
    </row>
    <row r="287">
      <c r="A287" t="b">
        <v>0</v>
      </c>
      <c r="B287" t="n">
        <v>286</v>
      </c>
      <c r="C287" t="inlineStr">
        <is>
          <t>B1</t>
        </is>
      </c>
      <c r="D287" t="inlineStr">
        <is>
          <t>styext</t>
        </is>
      </c>
      <c r="E287" t="n">
        <v>3774</v>
      </c>
      <c r="F287" t="n">
        <v>0.03</v>
      </c>
      <c r="G287" t="inlineStr">
        <is>
          <t>fenepm</t>
        </is>
      </c>
      <c r="H287" t="inlineStr">
        <is>
          <t>c2d2</t>
        </is>
      </c>
      <c r="I287" t="n">
        <v>0.001313</v>
      </c>
      <c r="J287" t="n">
        <v>1</v>
      </c>
      <c r="K287" t="inlineStr">
        <is>
          <t>clasen_boger</t>
        </is>
      </c>
      <c r="L287" t="inlineStr">
        <is>
          <t>julia/experiments/tnwpaper/outputs/exptl_comparison</t>
        </is>
      </c>
      <c r="M287" t="inlineStr">
        <is>
          <t>SUPERSEDED: Boger A-D c/c* geometric (use clasen_boger_km)</t>
        </is>
      </c>
    </row>
    <row r="288">
      <c r="A288" t="b">
        <v>0</v>
      </c>
      <c r="B288" t="n">
        <v>287</v>
      </c>
      <c r="C288" t="inlineStr">
        <is>
          <t>B1</t>
        </is>
      </c>
      <c r="D288" t="inlineStr">
        <is>
          <t>caber</t>
        </is>
      </c>
      <c r="E288" t="n">
        <v>3774</v>
      </c>
      <c r="F288" t="n">
        <v>0.03</v>
      </c>
      <c r="G288" t="inlineStr">
        <is>
          <t>fenepm</t>
        </is>
      </c>
      <c r="H288" t="inlineStr">
        <is>
          <t>constant</t>
        </is>
      </c>
      <c r="I288" t="n">
        <v>0.001313</v>
      </c>
      <c r="J288" t="inlineStr">
        <is>
          <t>[0.01, 0.03, 0.1, 0.3, 1, 3, 10, 30, 100]</t>
        </is>
      </c>
      <c r="K288" t="inlineStr">
        <is>
          <t>clasen_boger</t>
        </is>
      </c>
      <c r="L288" t="inlineStr">
        <is>
          <t>julia/experiments/tnwpaper/outputs/exptl_comparison</t>
        </is>
      </c>
      <c r="M288" t="inlineStr">
        <is>
          <t>SUPERSEDED: Boger A-D c/c* geometric (use clasen_boger_km)</t>
        </is>
      </c>
    </row>
    <row r="289">
      <c r="A289" t="b">
        <v>0</v>
      </c>
      <c r="B289" t="n">
        <v>288</v>
      </c>
      <c r="C289" t="inlineStr">
        <is>
          <t>B1</t>
        </is>
      </c>
      <c r="D289" t="inlineStr">
        <is>
          <t>caber</t>
        </is>
      </c>
      <c r="E289" t="n">
        <v>3774</v>
      </c>
      <c r="F289" t="n">
        <v>0.03</v>
      </c>
      <c r="G289" t="inlineStr">
        <is>
          <t>fenepm</t>
        </is>
      </c>
      <c r="H289" t="inlineStr">
        <is>
          <t>c2d2</t>
        </is>
      </c>
      <c r="I289" t="n">
        <v>0.001313</v>
      </c>
      <c r="J289" t="inlineStr">
        <is>
          <t>[0.01, 0.03, 0.1, 0.3, 1, 3, 10, 30, 100]</t>
        </is>
      </c>
      <c r="K289" t="inlineStr">
        <is>
          <t>clasen_boger</t>
        </is>
      </c>
      <c r="L289" t="inlineStr">
        <is>
          <t>julia/experiments/tnwpaper/outputs/exptl_comparison</t>
        </is>
      </c>
      <c r="M289" t="inlineStr">
        <is>
          <t>SUPERSEDED: Boger A-D c/c* geometric (use clasen_boger_km)</t>
        </is>
      </c>
    </row>
    <row r="290">
      <c r="A290" t="b">
        <v>0</v>
      </c>
      <c r="B290" t="n">
        <v>289</v>
      </c>
      <c r="C290" t="inlineStr">
        <is>
          <t>B2</t>
        </is>
      </c>
      <c r="D290" t="inlineStr">
        <is>
          <t>styext</t>
        </is>
      </c>
      <c r="E290" t="n">
        <v>3774</v>
      </c>
      <c r="F290" t="n">
        <v>0.03</v>
      </c>
      <c r="G290" t="inlineStr">
        <is>
          <t>fenepm</t>
        </is>
      </c>
      <c r="H290" t="inlineStr">
        <is>
          <t>constant</t>
        </is>
      </c>
      <c r="I290" t="n">
        <v>0.002238</v>
      </c>
      <c r="J290" t="n">
        <v>1</v>
      </c>
      <c r="K290" t="inlineStr">
        <is>
          <t>clasen_boger</t>
        </is>
      </c>
      <c r="L290" t="inlineStr">
        <is>
          <t>julia/experiments/tnwpaper/outputs/exptl_comparison</t>
        </is>
      </c>
      <c r="M290" t="inlineStr">
        <is>
          <t>SUPERSEDED: Boger A-D c/c* geometric (use clasen_boger_km)</t>
        </is>
      </c>
    </row>
    <row r="291">
      <c r="A291" t="b">
        <v>0</v>
      </c>
      <c r="B291" t="n">
        <v>290</v>
      </c>
      <c r="C291" t="inlineStr">
        <is>
          <t>B2</t>
        </is>
      </c>
      <c r="D291" t="inlineStr">
        <is>
          <t>styext</t>
        </is>
      </c>
      <c r="E291" t="n">
        <v>3774</v>
      </c>
      <c r="F291" t="n">
        <v>0.03</v>
      </c>
      <c r="G291" t="inlineStr">
        <is>
          <t>fenepm</t>
        </is>
      </c>
      <c r="H291" t="inlineStr">
        <is>
          <t>c2d2</t>
        </is>
      </c>
      <c r="I291" t="n">
        <v>0.002238</v>
      </c>
      <c r="J291" t="n">
        <v>1</v>
      </c>
      <c r="K291" t="inlineStr">
        <is>
          <t>clasen_boger</t>
        </is>
      </c>
      <c r="L291" t="inlineStr">
        <is>
          <t>julia/experiments/tnwpaper/outputs/exptl_comparison</t>
        </is>
      </c>
      <c r="M291" t="inlineStr">
        <is>
          <t>SUPERSEDED: Boger A-D c/c* geometric (use clasen_boger_km)</t>
        </is>
      </c>
    </row>
    <row r="292">
      <c r="A292" t="b">
        <v>0</v>
      </c>
      <c r="B292" t="n">
        <v>291</v>
      </c>
      <c r="C292" t="inlineStr">
        <is>
          <t>B2</t>
        </is>
      </c>
      <c r="D292" t="inlineStr">
        <is>
          <t>caber</t>
        </is>
      </c>
      <c r="E292" t="n">
        <v>3774</v>
      </c>
      <c r="F292" t="n">
        <v>0.03</v>
      </c>
      <c r="G292" t="inlineStr">
        <is>
          <t>fenepm</t>
        </is>
      </c>
      <c r="H292" t="inlineStr">
        <is>
          <t>constant</t>
        </is>
      </c>
      <c r="I292" t="n">
        <v>0.002238</v>
      </c>
      <c r="J292" t="inlineStr">
        <is>
          <t>[0.01, 0.03, 0.1, 0.3, 1, 3, 10, 30, 100]</t>
        </is>
      </c>
      <c r="K292" t="inlineStr">
        <is>
          <t>clasen_boger</t>
        </is>
      </c>
      <c r="L292" t="inlineStr">
        <is>
          <t>julia/experiments/tnwpaper/outputs/exptl_comparison</t>
        </is>
      </c>
      <c r="M292" t="inlineStr">
        <is>
          <t>SUPERSEDED: Boger A-D c/c* geometric (use clasen_boger_km)</t>
        </is>
      </c>
    </row>
    <row r="293">
      <c r="A293" t="b">
        <v>0</v>
      </c>
      <c r="B293" t="n">
        <v>292</v>
      </c>
      <c r="C293" t="inlineStr">
        <is>
          <t>B2</t>
        </is>
      </c>
      <c r="D293" t="inlineStr">
        <is>
          <t>caber</t>
        </is>
      </c>
      <c r="E293" t="n">
        <v>3774</v>
      </c>
      <c r="F293" t="n">
        <v>0.03</v>
      </c>
      <c r="G293" t="inlineStr">
        <is>
          <t>fenepm</t>
        </is>
      </c>
      <c r="H293" t="inlineStr">
        <is>
          <t>c2d2</t>
        </is>
      </c>
      <c r="I293" t="n">
        <v>0.002238</v>
      </c>
      <c r="J293" t="inlineStr">
        <is>
          <t>[0.01, 0.03, 0.1, 0.3, 1, 3, 10, 30, 100]</t>
        </is>
      </c>
      <c r="K293" t="inlineStr">
        <is>
          <t>clasen_boger</t>
        </is>
      </c>
      <c r="L293" t="inlineStr">
        <is>
          <t>julia/experiments/tnwpaper/outputs/exptl_comparison</t>
        </is>
      </c>
      <c r="M293" t="inlineStr">
        <is>
          <t>SUPERSEDED: Boger A-D c/c* geometric (use clasen_boger_km)</t>
        </is>
      </c>
    </row>
    <row r="294">
      <c r="A294" t="b">
        <v>0</v>
      </c>
      <c r="B294" t="n">
        <v>293</v>
      </c>
      <c r="C294" t="inlineStr">
        <is>
          <t>B3</t>
        </is>
      </c>
      <c r="D294" t="inlineStr">
        <is>
          <t>styext</t>
        </is>
      </c>
      <c r="E294" t="n">
        <v>3774</v>
      </c>
      <c r="F294" t="n">
        <v>0.03</v>
      </c>
      <c r="G294" t="inlineStr">
        <is>
          <t>fenepm</t>
        </is>
      </c>
      <c r="H294" t="inlineStr">
        <is>
          <t>constant</t>
        </is>
      </c>
      <c r="I294" t="n">
        <v>0.004177</v>
      </c>
      <c r="J294" t="n">
        <v>1</v>
      </c>
      <c r="K294" t="inlineStr">
        <is>
          <t>clasen_boger</t>
        </is>
      </c>
      <c r="L294" t="inlineStr">
        <is>
          <t>julia/experiments/tnwpaper/outputs/exptl_comparison</t>
        </is>
      </c>
      <c r="M294" t="inlineStr">
        <is>
          <t>SUPERSEDED: Boger A-D c/c* geometric (use clasen_boger_km)</t>
        </is>
      </c>
    </row>
    <row r="295">
      <c r="A295" t="b">
        <v>0</v>
      </c>
      <c r="B295" t="n">
        <v>294</v>
      </c>
      <c r="C295" t="inlineStr">
        <is>
          <t>B3</t>
        </is>
      </c>
      <c r="D295" t="inlineStr">
        <is>
          <t>styext</t>
        </is>
      </c>
      <c r="E295" t="n">
        <v>3774</v>
      </c>
      <c r="F295" t="n">
        <v>0.03</v>
      </c>
      <c r="G295" t="inlineStr">
        <is>
          <t>fenepm</t>
        </is>
      </c>
      <c r="H295" t="inlineStr">
        <is>
          <t>c2d2</t>
        </is>
      </c>
      <c r="I295" t="n">
        <v>0.004177</v>
      </c>
      <c r="J295" t="n">
        <v>1</v>
      </c>
      <c r="K295" t="inlineStr">
        <is>
          <t>clasen_boger</t>
        </is>
      </c>
      <c r="L295" t="inlineStr">
        <is>
          <t>julia/experiments/tnwpaper/outputs/exptl_comparison</t>
        </is>
      </c>
      <c r="M295" t="inlineStr">
        <is>
          <t>SUPERSEDED: Boger A-D c/c* geometric (use clasen_boger_km)</t>
        </is>
      </c>
    </row>
    <row r="296">
      <c r="A296" t="b">
        <v>0</v>
      </c>
      <c r="B296" t="n">
        <v>295</v>
      </c>
      <c r="C296" t="inlineStr">
        <is>
          <t>B3</t>
        </is>
      </c>
      <c r="D296" t="inlineStr">
        <is>
          <t>caber</t>
        </is>
      </c>
      <c r="E296" t="n">
        <v>3774</v>
      </c>
      <c r="F296" t="n">
        <v>0.03</v>
      </c>
      <c r="G296" t="inlineStr">
        <is>
          <t>fenepm</t>
        </is>
      </c>
      <c r="H296" t="inlineStr">
        <is>
          <t>constant</t>
        </is>
      </c>
      <c r="I296" t="n">
        <v>0.004177</v>
      </c>
      <c r="J296" t="inlineStr">
        <is>
          <t>[0.01, 0.03, 0.1, 0.3, 1, 3, 10, 30, 100]</t>
        </is>
      </c>
      <c r="K296" t="inlineStr">
        <is>
          <t>clasen_boger</t>
        </is>
      </c>
      <c r="L296" t="inlineStr">
        <is>
          <t>julia/experiments/tnwpaper/outputs/exptl_comparison</t>
        </is>
      </c>
      <c r="M296" t="inlineStr">
        <is>
          <t>SUPERSEDED: Boger A-D c/c* geometric (use clasen_boger_km)</t>
        </is>
      </c>
    </row>
    <row r="297">
      <c r="A297" t="b">
        <v>0</v>
      </c>
      <c r="B297" t="n">
        <v>296</v>
      </c>
      <c r="C297" t="inlineStr">
        <is>
          <t>B3</t>
        </is>
      </c>
      <c r="D297" t="inlineStr">
        <is>
          <t>caber</t>
        </is>
      </c>
      <c r="E297" t="n">
        <v>3774</v>
      </c>
      <c r="F297" t="n">
        <v>0.03</v>
      </c>
      <c r="G297" t="inlineStr">
        <is>
          <t>fenepm</t>
        </is>
      </c>
      <c r="H297" t="inlineStr">
        <is>
          <t>c2d2</t>
        </is>
      </c>
      <c r="I297" t="n">
        <v>0.004177</v>
      </c>
      <c r="J297" t="inlineStr">
        <is>
          <t>[0.01, 0.03, 0.1, 0.3, 1, 3, 10, 30, 100]</t>
        </is>
      </c>
      <c r="K297" t="inlineStr">
        <is>
          <t>clasen_boger</t>
        </is>
      </c>
      <c r="L297" t="inlineStr">
        <is>
          <t>julia/experiments/tnwpaper/outputs/exptl_comparison</t>
        </is>
      </c>
      <c r="M297" t="inlineStr">
        <is>
          <t>SUPERSEDED: Boger A-D c/c* geometric (use clasen_boger_km)</t>
        </is>
      </c>
    </row>
    <row r="298">
      <c r="A298" t="b">
        <v>0</v>
      </c>
      <c r="B298" t="n">
        <v>297</v>
      </c>
      <c r="C298" t="inlineStr">
        <is>
          <t>B4</t>
        </is>
      </c>
      <c r="D298" t="inlineStr">
        <is>
          <t>styext</t>
        </is>
      </c>
      <c r="E298" t="n">
        <v>3774</v>
      </c>
      <c r="F298" t="n">
        <v>0.03</v>
      </c>
      <c r="G298" t="inlineStr">
        <is>
          <t>fenepm</t>
        </is>
      </c>
      <c r="H298" t="inlineStr">
        <is>
          <t>constant</t>
        </is>
      </c>
      <c r="I298" t="n">
        <v>0.007459</v>
      </c>
      <c r="J298" t="n">
        <v>1</v>
      </c>
      <c r="K298" t="inlineStr">
        <is>
          <t>clasen_boger</t>
        </is>
      </c>
      <c r="L298" t="inlineStr">
        <is>
          <t>julia/experiments/tnwpaper/outputs/exptl_comparison</t>
        </is>
      </c>
      <c r="M298" t="inlineStr">
        <is>
          <t>SUPERSEDED: Boger A-D c/c* geometric (use clasen_boger_km)</t>
        </is>
      </c>
    </row>
    <row r="299">
      <c r="A299" t="b">
        <v>0</v>
      </c>
      <c r="B299" t="n">
        <v>298</v>
      </c>
      <c r="C299" t="inlineStr">
        <is>
          <t>B4</t>
        </is>
      </c>
      <c r="D299" t="inlineStr">
        <is>
          <t>styext</t>
        </is>
      </c>
      <c r="E299" t="n">
        <v>3774</v>
      </c>
      <c r="F299" t="n">
        <v>0.03</v>
      </c>
      <c r="G299" t="inlineStr">
        <is>
          <t>fenepm</t>
        </is>
      </c>
      <c r="H299" t="inlineStr">
        <is>
          <t>c2d2</t>
        </is>
      </c>
      <c r="I299" t="n">
        <v>0.007459</v>
      </c>
      <c r="J299" t="n">
        <v>1</v>
      </c>
      <c r="K299" t="inlineStr">
        <is>
          <t>clasen_boger</t>
        </is>
      </c>
      <c r="L299" t="inlineStr">
        <is>
          <t>julia/experiments/tnwpaper/outputs/exptl_comparison</t>
        </is>
      </c>
      <c r="M299" t="inlineStr">
        <is>
          <t>SUPERSEDED: Boger A-D c/c* geometric (use clasen_boger_km)</t>
        </is>
      </c>
    </row>
    <row r="300">
      <c r="A300" t="b">
        <v>0</v>
      </c>
      <c r="B300" t="n">
        <v>299</v>
      </c>
      <c r="C300" t="inlineStr">
        <is>
          <t>B4</t>
        </is>
      </c>
      <c r="D300" t="inlineStr">
        <is>
          <t>caber</t>
        </is>
      </c>
      <c r="E300" t="n">
        <v>3774</v>
      </c>
      <c r="F300" t="n">
        <v>0.03</v>
      </c>
      <c r="G300" t="inlineStr">
        <is>
          <t>fenepm</t>
        </is>
      </c>
      <c r="H300" t="inlineStr">
        <is>
          <t>constant</t>
        </is>
      </c>
      <c r="I300" t="n">
        <v>0.007459</v>
      </c>
      <c r="J300" t="inlineStr">
        <is>
          <t>[0.01, 0.03, 0.1, 0.3, 1, 3, 10, 30, 100]</t>
        </is>
      </c>
      <c r="K300" t="inlineStr">
        <is>
          <t>clasen_boger</t>
        </is>
      </c>
      <c r="L300" t="inlineStr">
        <is>
          <t>julia/experiments/tnwpaper/outputs/exptl_comparison</t>
        </is>
      </c>
      <c r="M300" t="inlineStr">
        <is>
          <t>SUPERSEDED: Boger A-D c/c* geometric (use clasen_boger_km)</t>
        </is>
      </c>
    </row>
    <row r="301">
      <c r="A301" t="b">
        <v>0</v>
      </c>
      <c r="B301" t="n">
        <v>300</v>
      </c>
      <c r="C301" t="inlineStr">
        <is>
          <t>B4</t>
        </is>
      </c>
      <c r="D301" t="inlineStr">
        <is>
          <t>caber</t>
        </is>
      </c>
      <c r="E301" t="n">
        <v>3774</v>
      </c>
      <c r="F301" t="n">
        <v>0.03</v>
      </c>
      <c r="G301" t="inlineStr">
        <is>
          <t>fenepm</t>
        </is>
      </c>
      <c r="H301" t="inlineStr">
        <is>
          <t>c2d2</t>
        </is>
      </c>
      <c r="I301" t="n">
        <v>0.007459</v>
      </c>
      <c r="J301" t="inlineStr">
        <is>
          <t>[0.01, 0.03, 0.1, 0.3, 1, 3, 10, 30, 100]</t>
        </is>
      </c>
      <c r="K301" t="inlineStr">
        <is>
          <t>clasen_boger</t>
        </is>
      </c>
      <c r="L301" t="inlineStr">
        <is>
          <t>julia/experiments/tnwpaper/outputs/exptl_comparison</t>
        </is>
      </c>
      <c r="M301" t="inlineStr">
        <is>
          <t>SUPERSEDED: Boger A-D c/c* geometric (use clasen_boger_km)</t>
        </is>
      </c>
    </row>
    <row r="302">
      <c r="A302" t="b">
        <v>0</v>
      </c>
      <c r="B302" t="n">
        <v>301</v>
      </c>
      <c r="C302" t="inlineStr">
        <is>
          <t>B5</t>
        </is>
      </c>
      <c r="D302" t="inlineStr">
        <is>
          <t>styext</t>
        </is>
      </c>
      <c r="E302" t="n">
        <v>3774</v>
      </c>
      <c r="F302" t="n">
        <v>0.03</v>
      </c>
      <c r="G302" t="inlineStr">
        <is>
          <t>fenepm</t>
        </is>
      </c>
      <c r="H302" t="inlineStr">
        <is>
          <t>constant</t>
        </is>
      </c>
      <c r="I302" t="n">
        <v>0.013128</v>
      </c>
      <c r="J302" t="n">
        <v>1</v>
      </c>
      <c r="K302" t="inlineStr">
        <is>
          <t>clasen_boger</t>
        </is>
      </c>
      <c r="L302" t="inlineStr">
        <is>
          <t>julia/experiments/tnwpaper/outputs/exptl_comparison</t>
        </is>
      </c>
      <c r="M302" t="inlineStr">
        <is>
          <t>SUPERSEDED: Boger A-D c/c* geometric (use clasen_boger_km)</t>
        </is>
      </c>
    </row>
    <row r="303">
      <c r="A303" t="b">
        <v>0</v>
      </c>
      <c r="B303" t="n">
        <v>302</v>
      </c>
      <c r="C303" t="inlineStr">
        <is>
          <t>B5</t>
        </is>
      </c>
      <c r="D303" t="inlineStr">
        <is>
          <t>styext</t>
        </is>
      </c>
      <c r="E303" t="n">
        <v>3774</v>
      </c>
      <c r="F303" t="n">
        <v>0.03</v>
      </c>
      <c r="G303" t="inlineStr">
        <is>
          <t>fenepm</t>
        </is>
      </c>
      <c r="H303" t="inlineStr">
        <is>
          <t>c2d2</t>
        </is>
      </c>
      <c r="I303" t="n">
        <v>0.013128</v>
      </c>
      <c r="J303" t="n">
        <v>1</v>
      </c>
      <c r="K303" t="inlineStr">
        <is>
          <t>clasen_boger</t>
        </is>
      </c>
      <c r="L303" t="inlineStr">
        <is>
          <t>julia/experiments/tnwpaper/outputs/exptl_comparison</t>
        </is>
      </c>
      <c r="M303" t="inlineStr">
        <is>
          <t>SUPERSEDED: Boger A-D c/c* geometric (use clasen_boger_km)</t>
        </is>
      </c>
    </row>
    <row r="304">
      <c r="A304" t="b">
        <v>0</v>
      </c>
      <c r="B304" t="n">
        <v>303</v>
      </c>
      <c r="C304" t="inlineStr">
        <is>
          <t>B5</t>
        </is>
      </c>
      <c r="D304" t="inlineStr">
        <is>
          <t>caber</t>
        </is>
      </c>
      <c r="E304" t="n">
        <v>3774</v>
      </c>
      <c r="F304" t="n">
        <v>0.03</v>
      </c>
      <c r="G304" t="inlineStr">
        <is>
          <t>fenepm</t>
        </is>
      </c>
      <c r="H304" t="inlineStr">
        <is>
          <t>constant</t>
        </is>
      </c>
      <c r="I304" t="n">
        <v>0.013128</v>
      </c>
      <c r="J304" t="inlineStr">
        <is>
          <t>[0.01, 0.03, 0.1, 0.3, 1, 3, 10, 30, 100]</t>
        </is>
      </c>
      <c r="K304" t="inlineStr">
        <is>
          <t>clasen_boger</t>
        </is>
      </c>
      <c r="L304" t="inlineStr">
        <is>
          <t>julia/experiments/tnwpaper/outputs/exptl_comparison</t>
        </is>
      </c>
      <c r="M304" t="inlineStr">
        <is>
          <t>SUPERSEDED: Boger A-D c/c* geometric (use clasen_boger_km)</t>
        </is>
      </c>
    </row>
    <row r="305">
      <c r="A305" t="b">
        <v>0</v>
      </c>
      <c r="B305" t="n">
        <v>304</v>
      </c>
      <c r="C305" t="inlineStr">
        <is>
          <t>B5</t>
        </is>
      </c>
      <c r="D305" t="inlineStr">
        <is>
          <t>caber</t>
        </is>
      </c>
      <c r="E305" t="n">
        <v>3774</v>
      </c>
      <c r="F305" t="n">
        <v>0.03</v>
      </c>
      <c r="G305" t="inlineStr">
        <is>
          <t>fenepm</t>
        </is>
      </c>
      <c r="H305" t="inlineStr">
        <is>
          <t>c2d2</t>
        </is>
      </c>
      <c r="I305" t="n">
        <v>0.013128</v>
      </c>
      <c r="J305" t="inlineStr">
        <is>
          <t>[0.01, 0.03, 0.1, 0.3, 1, 3, 10, 30, 100]</t>
        </is>
      </c>
      <c r="K305" t="inlineStr">
        <is>
          <t>clasen_boger</t>
        </is>
      </c>
      <c r="L305" t="inlineStr">
        <is>
          <t>julia/experiments/tnwpaper/outputs/exptl_comparison</t>
        </is>
      </c>
      <c r="M305" t="inlineStr">
        <is>
          <t>SUPERSEDED: Boger A-D c/c* geometric (use clasen_boger_km)</t>
        </is>
      </c>
    </row>
    <row r="306">
      <c r="A306" t="b">
        <v>0</v>
      </c>
      <c r="B306" t="n">
        <v>305</v>
      </c>
      <c r="C306" t="inlineStr">
        <is>
          <t>B6</t>
        </is>
      </c>
      <c r="D306" t="inlineStr">
        <is>
          <t>styext</t>
        </is>
      </c>
      <c r="E306" t="n">
        <v>3774</v>
      </c>
      <c r="F306" t="n">
        <v>0.03</v>
      </c>
      <c r="G306" t="inlineStr">
        <is>
          <t>fenepm</t>
        </is>
      </c>
      <c r="H306" t="inlineStr">
        <is>
          <t>constant</t>
        </is>
      </c>
      <c r="I306" t="n">
        <v>0.023571</v>
      </c>
      <c r="J306" t="n">
        <v>1</v>
      </c>
      <c r="K306" t="inlineStr">
        <is>
          <t>clasen_boger</t>
        </is>
      </c>
      <c r="L306" t="inlineStr">
        <is>
          <t>julia/experiments/tnwpaper/outputs/exptl_comparison</t>
        </is>
      </c>
      <c r="M306" t="inlineStr">
        <is>
          <t>SUPERSEDED: Boger A-D c/c* geometric (use clasen_boger_km)</t>
        </is>
      </c>
    </row>
    <row r="307">
      <c r="A307" t="b">
        <v>0</v>
      </c>
      <c r="B307" t="n">
        <v>306</v>
      </c>
      <c r="C307" t="inlineStr">
        <is>
          <t>B6</t>
        </is>
      </c>
      <c r="D307" t="inlineStr">
        <is>
          <t>styext</t>
        </is>
      </c>
      <c r="E307" t="n">
        <v>3774</v>
      </c>
      <c r="F307" t="n">
        <v>0.03</v>
      </c>
      <c r="G307" t="inlineStr">
        <is>
          <t>fenepm</t>
        </is>
      </c>
      <c r="H307" t="inlineStr">
        <is>
          <t>c2d2</t>
        </is>
      </c>
      <c r="I307" t="n">
        <v>0.023571</v>
      </c>
      <c r="J307" t="n">
        <v>1</v>
      </c>
      <c r="K307" t="inlineStr">
        <is>
          <t>clasen_boger</t>
        </is>
      </c>
      <c r="L307" t="inlineStr">
        <is>
          <t>julia/experiments/tnwpaper/outputs/exptl_comparison</t>
        </is>
      </c>
      <c r="M307" t="inlineStr">
        <is>
          <t>SUPERSEDED: Boger A-D c/c* geometric (use clasen_boger_km)</t>
        </is>
      </c>
    </row>
    <row r="308">
      <c r="A308" t="b">
        <v>0</v>
      </c>
      <c r="B308" t="n">
        <v>307</v>
      </c>
      <c r="C308" t="inlineStr">
        <is>
          <t>B6</t>
        </is>
      </c>
      <c r="D308" t="inlineStr">
        <is>
          <t>caber</t>
        </is>
      </c>
      <c r="E308" t="n">
        <v>3774</v>
      </c>
      <c r="F308" t="n">
        <v>0.03</v>
      </c>
      <c r="G308" t="inlineStr">
        <is>
          <t>fenepm</t>
        </is>
      </c>
      <c r="H308" t="inlineStr">
        <is>
          <t>constant</t>
        </is>
      </c>
      <c r="I308" t="n">
        <v>0.023571</v>
      </c>
      <c r="J308" t="inlineStr">
        <is>
          <t>[0.01, 0.03, 0.1, 0.3, 1, 3, 10, 30, 100]</t>
        </is>
      </c>
      <c r="K308" t="inlineStr">
        <is>
          <t>clasen_boger</t>
        </is>
      </c>
      <c r="L308" t="inlineStr">
        <is>
          <t>julia/experiments/tnwpaper/outputs/exptl_comparison</t>
        </is>
      </c>
      <c r="M308" t="inlineStr">
        <is>
          <t>SUPERSEDED: Boger A-D c/c* geometric (use clasen_boger_km)</t>
        </is>
      </c>
    </row>
    <row r="309">
      <c r="A309" t="b">
        <v>0</v>
      </c>
      <c r="B309" t="n">
        <v>308</v>
      </c>
      <c r="C309" t="inlineStr">
        <is>
          <t>B6</t>
        </is>
      </c>
      <c r="D309" t="inlineStr">
        <is>
          <t>caber</t>
        </is>
      </c>
      <c r="E309" t="n">
        <v>3774</v>
      </c>
      <c r="F309" t="n">
        <v>0.03</v>
      </c>
      <c r="G309" t="inlineStr">
        <is>
          <t>fenepm</t>
        </is>
      </c>
      <c r="H309" t="inlineStr">
        <is>
          <t>c2d2</t>
        </is>
      </c>
      <c r="I309" t="n">
        <v>0.023571</v>
      </c>
      <c r="J309" t="inlineStr">
        <is>
          <t>[0.01, 0.03, 0.1, 0.3, 1, 3, 10, 30, 100]</t>
        </is>
      </c>
      <c r="K309" t="inlineStr">
        <is>
          <t>clasen_boger</t>
        </is>
      </c>
      <c r="L309" t="inlineStr">
        <is>
          <t>julia/experiments/tnwpaper/outputs/exptl_comparison</t>
        </is>
      </c>
      <c r="M309" t="inlineStr">
        <is>
          <t>SUPERSEDED: Boger A-D c/c* geometric (use clasen_boger_km)</t>
        </is>
      </c>
    </row>
    <row r="310">
      <c r="A310" t="b">
        <v>0</v>
      </c>
      <c r="B310" t="n">
        <v>309</v>
      </c>
      <c r="C310" t="inlineStr">
        <is>
          <t>B7</t>
        </is>
      </c>
      <c r="D310" t="inlineStr">
        <is>
          <t>styext</t>
        </is>
      </c>
      <c r="E310" t="n">
        <v>3774</v>
      </c>
      <c r="F310" t="n">
        <v>0.03</v>
      </c>
      <c r="G310" t="inlineStr">
        <is>
          <t>fenepm</t>
        </is>
      </c>
      <c r="H310" t="inlineStr">
        <is>
          <t>constant</t>
        </is>
      </c>
      <c r="I310" t="n">
        <v>0.042965</v>
      </c>
      <c r="J310" t="n">
        <v>1</v>
      </c>
      <c r="K310" t="inlineStr">
        <is>
          <t>clasen_boger</t>
        </is>
      </c>
      <c r="L310" t="inlineStr">
        <is>
          <t>julia/experiments/tnwpaper/outputs/exptl_comparison</t>
        </is>
      </c>
      <c r="M310" t="inlineStr">
        <is>
          <t>SUPERSEDED: Boger A-D c/c* geometric (use clasen_boger_km)</t>
        </is>
      </c>
    </row>
    <row r="311">
      <c r="A311" t="b">
        <v>0</v>
      </c>
      <c r="B311" t="n">
        <v>310</v>
      </c>
      <c r="C311" t="inlineStr">
        <is>
          <t>B7</t>
        </is>
      </c>
      <c r="D311" t="inlineStr">
        <is>
          <t>styext</t>
        </is>
      </c>
      <c r="E311" t="n">
        <v>3774</v>
      </c>
      <c r="F311" t="n">
        <v>0.03</v>
      </c>
      <c r="G311" t="inlineStr">
        <is>
          <t>fenepm</t>
        </is>
      </c>
      <c r="H311" t="inlineStr">
        <is>
          <t>c2d2</t>
        </is>
      </c>
      <c r="I311" t="n">
        <v>0.042965</v>
      </c>
      <c r="J311" t="n">
        <v>1</v>
      </c>
      <c r="K311" t="inlineStr">
        <is>
          <t>clasen_boger</t>
        </is>
      </c>
      <c r="L311" t="inlineStr">
        <is>
          <t>julia/experiments/tnwpaper/outputs/exptl_comparison</t>
        </is>
      </c>
      <c r="M311" t="inlineStr">
        <is>
          <t>SUPERSEDED: Boger A-D c/c* geometric (use clasen_boger_km)</t>
        </is>
      </c>
    </row>
    <row r="312">
      <c r="A312" t="b">
        <v>0</v>
      </c>
      <c r="B312" t="n">
        <v>311</v>
      </c>
      <c r="C312" t="inlineStr">
        <is>
          <t>B7</t>
        </is>
      </c>
      <c r="D312" t="inlineStr">
        <is>
          <t>caber</t>
        </is>
      </c>
      <c r="E312" t="n">
        <v>3774</v>
      </c>
      <c r="F312" t="n">
        <v>0.03</v>
      </c>
      <c r="G312" t="inlineStr">
        <is>
          <t>fenepm</t>
        </is>
      </c>
      <c r="H312" t="inlineStr">
        <is>
          <t>constant</t>
        </is>
      </c>
      <c r="I312" t="n">
        <v>0.042965</v>
      </c>
      <c r="J312" t="inlineStr">
        <is>
          <t>[0.01, 0.03, 0.1, 0.3, 1, 3, 10, 30, 100]</t>
        </is>
      </c>
      <c r="K312" t="inlineStr">
        <is>
          <t>clasen_boger</t>
        </is>
      </c>
      <c r="L312" t="inlineStr">
        <is>
          <t>julia/experiments/tnwpaper/outputs/exptl_comparison</t>
        </is>
      </c>
      <c r="M312" t="inlineStr">
        <is>
          <t>SUPERSEDED: Boger A-D c/c* geometric (use clasen_boger_km)</t>
        </is>
      </c>
    </row>
    <row r="313">
      <c r="A313" t="b">
        <v>0</v>
      </c>
      <c r="B313" t="n">
        <v>312</v>
      </c>
      <c r="C313" t="inlineStr">
        <is>
          <t>B7</t>
        </is>
      </c>
      <c r="D313" t="inlineStr">
        <is>
          <t>caber</t>
        </is>
      </c>
      <c r="E313" t="n">
        <v>3774</v>
      </c>
      <c r="F313" t="n">
        <v>0.03</v>
      </c>
      <c r="G313" t="inlineStr">
        <is>
          <t>fenepm</t>
        </is>
      </c>
      <c r="H313" t="inlineStr">
        <is>
          <t>c2d2</t>
        </is>
      </c>
      <c r="I313" t="n">
        <v>0.042965</v>
      </c>
      <c r="J313" t="inlineStr">
        <is>
          <t>[0.01, 0.03, 0.1, 0.3, 1, 3, 10, 30, 100]</t>
        </is>
      </c>
      <c r="K313" t="inlineStr">
        <is>
          <t>clasen_boger</t>
        </is>
      </c>
      <c r="L313" t="inlineStr">
        <is>
          <t>julia/experiments/tnwpaper/outputs/exptl_comparison</t>
        </is>
      </c>
      <c r="M313" t="inlineStr">
        <is>
          <t>SUPERSEDED: Boger A-D c/c* geometric (use clasen_boger_km)</t>
        </is>
      </c>
    </row>
    <row r="314">
      <c r="A314" t="b">
        <v>0</v>
      </c>
      <c r="B314" t="n">
        <v>313</v>
      </c>
      <c r="C314" t="inlineStr">
        <is>
          <t>C1</t>
        </is>
      </c>
      <c r="D314" t="inlineStr">
        <is>
          <t>styext</t>
        </is>
      </c>
      <c r="E314" t="n">
        <v>7682</v>
      </c>
      <c r="F314" t="n">
        <v>0.03</v>
      </c>
      <c r="G314" t="inlineStr">
        <is>
          <t>fenepm</t>
        </is>
      </c>
      <c r="H314" t="inlineStr">
        <is>
          <t>constant</t>
        </is>
      </c>
      <c r="I314" t="n">
        <v>0.003363</v>
      </c>
      <c r="J314" t="n">
        <v>1</v>
      </c>
      <c r="K314" t="inlineStr">
        <is>
          <t>clasen_boger</t>
        </is>
      </c>
      <c r="L314" t="inlineStr">
        <is>
          <t>julia/experiments/tnwpaper/outputs/exptl_comparison</t>
        </is>
      </c>
      <c r="M314" t="inlineStr">
        <is>
          <t>SUPERSEDED: Boger A-D c/c* geometric (use clasen_boger_km)</t>
        </is>
      </c>
    </row>
    <row r="315">
      <c r="A315" t="b">
        <v>0</v>
      </c>
      <c r="B315" t="n">
        <v>314</v>
      </c>
      <c r="C315" t="inlineStr">
        <is>
          <t>C1</t>
        </is>
      </c>
      <c r="D315" t="inlineStr">
        <is>
          <t>styext</t>
        </is>
      </c>
      <c r="E315" t="n">
        <v>7682</v>
      </c>
      <c r="F315" t="n">
        <v>0.03</v>
      </c>
      <c r="G315" t="inlineStr">
        <is>
          <t>fenepm</t>
        </is>
      </c>
      <c r="H315" t="inlineStr">
        <is>
          <t>c2d2</t>
        </is>
      </c>
      <c r="I315" t="n">
        <v>0.003363</v>
      </c>
      <c r="J315" t="n">
        <v>1</v>
      </c>
      <c r="K315" t="inlineStr">
        <is>
          <t>clasen_boger</t>
        </is>
      </c>
      <c r="L315" t="inlineStr">
        <is>
          <t>julia/experiments/tnwpaper/outputs/exptl_comparison</t>
        </is>
      </c>
      <c r="M315" t="inlineStr">
        <is>
          <t>SUPERSEDED: Boger A-D c/c* geometric (use clasen_boger_km)</t>
        </is>
      </c>
    </row>
    <row r="316">
      <c r="A316" t="b">
        <v>0</v>
      </c>
      <c r="B316" t="n">
        <v>315</v>
      </c>
      <c r="C316" t="inlineStr">
        <is>
          <t>C1</t>
        </is>
      </c>
      <c r="D316" t="inlineStr">
        <is>
          <t>caber</t>
        </is>
      </c>
      <c r="E316" t="n">
        <v>7682</v>
      </c>
      <c r="F316" t="n">
        <v>0.03</v>
      </c>
      <c r="G316" t="inlineStr">
        <is>
          <t>fenepm</t>
        </is>
      </c>
      <c r="H316" t="inlineStr">
        <is>
          <t>constant</t>
        </is>
      </c>
      <c r="I316" t="n">
        <v>0.003363</v>
      </c>
      <c r="J316" t="inlineStr">
        <is>
          <t>[0.01, 0.03, 0.1, 0.3, 1, 3, 10, 30, 100]</t>
        </is>
      </c>
      <c r="K316" t="inlineStr">
        <is>
          <t>clasen_boger</t>
        </is>
      </c>
      <c r="L316" t="inlineStr">
        <is>
          <t>julia/experiments/tnwpaper/outputs/exptl_comparison</t>
        </is>
      </c>
      <c r="M316" t="inlineStr">
        <is>
          <t>SUPERSEDED: Boger A-D c/c* geometric (use clasen_boger_km)</t>
        </is>
      </c>
    </row>
    <row r="317">
      <c r="A317" t="b">
        <v>0</v>
      </c>
      <c r="B317" t="n">
        <v>316</v>
      </c>
      <c r="C317" t="inlineStr">
        <is>
          <t>C1</t>
        </is>
      </c>
      <c r="D317" t="inlineStr">
        <is>
          <t>caber</t>
        </is>
      </c>
      <c r="E317" t="n">
        <v>7682</v>
      </c>
      <c r="F317" t="n">
        <v>0.03</v>
      </c>
      <c r="G317" t="inlineStr">
        <is>
          <t>fenepm</t>
        </is>
      </c>
      <c r="H317" t="inlineStr">
        <is>
          <t>c2d2</t>
        </is>
      </c>
      <c r="I317" t="n">
        <v>0.003363</v>
      </c>
      <c r="J317" t="inlineStr">
        <is>
          <t>[0.01, 0.03, 0.1, 0.3, 1, 3, 10, 30, 100]</t>
        </is>
      </c>
      <c r="K317" t="inlineStr">
        <is>
          <t>clasen_boger</t>
        </is>
      </c>
      <c r="L317" t="inlineStr">
        <is>
          <t>julia/experiments/tnwpaper/outputs/exptl_comparison</t>
        </is>
      </c>
      <c r="M317" t="inlineStr">
        <is>
          <t>SUPERSEDED: Boger A-D c/c* geometric (use clasen_boger_km)</t>
        </is>
      </c>
    </row>
    <row r="318">
      <c r="A318" t="b">
        <v>0</v>
      </c>
      <c r="B318" t="n">
        <v>317</v>
      </c>
      <c r="C318" t="inlineStr">
        <is>
          <t>C2</t>
        </is>
      </c>
      <c r="D318" t="inlineStr">
        <is>
          <t>styext</t>
        </is>
      </c>
      <c r="E318" t="n">
        <v>7682</v>
      </c>
      <c r="F318" t="n">
        <v>0.03</v>
      </c>
      <c r="G318" t="inlineStr">
        <is>
          <t>fenepm</t>
        </is>
      </c>
      <c r="H318" t="inlineStr">
        <is>
          <t>constant</t>
        </is>
      </c>
      <c r="I318" t="n">
        <v>0.004257</v>
      </c>
      <c r="J318" t="n">
        <v>1</v>
      </c>
      <c r="K318" t="inlineStr">
        <is>
          <t>clasen_boger</t>
        </is>
      </c>
      <c r="L318" t="inlineStr">
        <is>
          <t>julia/experiments/tnwpaper/outputs/exptl_comparison</t>
        </is>
      </c>
      <c r="M318" t="inlineStr">
        <is>
          <t>SUPERSEDED: Boger A-D c/c* geometric (use clasen_boger_km)</t>
        </is>
      </c>
    </row>
    <row r="319">
      <c r="A319" t="b">
        <v>0</v>
      </c>
      <c r="B319" t="n">
        <v>318</v>
      </c>
      <c r="C319" t="inlineStr">
        <is>
          <t>C2</t>
        </is>
      </c>
      <c r="D319" t="inlineStr">
        <is>
          <t>styext</t>
        </is>
      </c>
      <c r="E319" t="n">
        <v>7682</v>
      </c>
      <c r="F319" t="n">
        <v>0.03</v>
      </c>
      <c r="G319" t="inlineStr">
        <is>
          <t>fenepm</t>
        </is>
      </c>
      <c r="H319" t="inlineStr">
        <is>
          <t>c2d2</t>
        </is>
      </c>
      <c r="I319" t="n">
        <v>0.004257</v>
      </c>
      <c r="J319" t="n">
        <v>1</v>
      </c>
      <c r="K319" t="inlineStr">
        <is>
          <t>clasen_boger</t>
        </is>
      </c>
      <c r="L319" t="inlineStr">
        <is>
          <t>julia/experiments/tnwpaper/outputs/exptl_comparison</t>
        </is>
      </c>
      <c r="M319" t="inlineStr">
        <is>
          <t>SUPERSEDED: Boger A-D c/c* geometric (use clasen_boger_km)</t>
        </is>
      </c>
    </row>
    <row r="320">
      <c r="A320" t="b">
        <v>0</v>
      </c>
      <c r="B320" t="n">
        <v>319</v>
      </c>
      <c r="C320" t="inlineStr">
        <is>
          <t>C2</t>
        </is>
      </c>
      <c r="D320" t="inlineStr">
        <is>
          <t>caber</t>
        </is>
      </c>
      <c r="E320" t="n">
        <v>7682</v>
      </c>
      <c r="F320" t="n">
        <v>0.03</v>
      </c>
      <c r="G320" t="inlineStr">
        <is>
          <t>fenepm</t>
        </is>
      </c>
      <c r="H320" t="inlineStr">
        <is>
          <t>constant</t>
        </is>
      </c>
      <c r="I320" t="n">
        <v>0.004257</v>
      </c>
      <c r="J320" t="inlineStr">
        <is>
          <t>[0.01, 0.03, 0.1, 0.3, 1, 3, 10, 30, 100]</t>
        </is>
      </c>
      <c r="K320" t="inlineStr">
        <is>
          <t>clasen_boger</t>
        </is>
      </c>
      <c r="L320" t="inlineStr">
        <is>
          <t>julia/experiments/tnwpaper/outputs/exptl_comparison</t>
        </is>
      </c>
      <c r="M320" t="inlineStr">
        <is>
          <t>SUPERSEDED: Boger A-D c/c* geometric (use clasen_boger_km)</t>
        </is>
      </c>
    </row>
    <row r="321">
      <c r="A321" t="b">
        <v>0</v>
      </c>
      <c r="B321" t="n">
        <v>320</v>
      </c>
      <c r="C321" t="inlineStr">
        <is>
          <t>C2</t>
        </is>
      </c>
      <c r="D321" t="inlineStr">
        <is>
          <t>caber</t>
        </is>
      </c>
      <c r="E321" t="n">
        <v>7682</v>
      </c>
      <c r="F321" t="n">
        <v>0.03</v>
      </c>
      <c r="G321" t="inlineStr">
        <is>
          <t>fenepm</t>
        </is>
      </c>
      <c r="H321" t="inlineStr">
        <is>
          <t>c2d2</t>
        </is>
      </c>
      <c r="I321" t="n">
        <v>0.004257</v>
      </c>
      <c r="J321" t="inlineStr">
        <is>
          <t>[0.01, 0.03, 0.1, 0.3, 1, 3, 10, 30, 100]</t>
        </is>
      </c>
      <c r="K321" t="inlineStr">
        <is>
          <t>clasen_boger</t>
        </is>
      </c>
      <c r="L321" t="inlineStr">
        <is>
          <t>julia/experiments/tnwpaper/outputs/exptl_comparison</t>
        </is>
      </c>
      <c r="M321" t="inlineStr">
        <is>
          <t>SUPERSEDED: Boger A-D c/c* geometric (use clasen_boger_km)</t>
        </is>
      </c>
    </row>
    <row r="322">
      <c r="A322" t="b">
        <v>0</v>
      </c>
      <c r="B322" t="n">
        <v>321</v>
      </c>
      <c r="C322" t="inlineStr">
        <is>
          <t>C3</t>
        </is>
      </c>
      <c r="D322" t="inlineStr">
        <is>
          <t>styext</t>
        </is>
      </c>
      <c r="E322" t="n">
        <v>7682</v>
      </c>
      <c r="F322" t="n">
        <v>0.03</v>
      </c>
      <c r="G322" t="inlineStr">
        <is>
          <t>fenepm</t>
        </is>
      </c>
      <c r="H322" t="inlineStr">
        <is>
          <t>constant</t>
        </is>
      </c>
      <c r="I322" t="n">
        <v>0.013452</v>
      </c>
      <c r="J322" t="n">
        <v>1</v>
      </c>
      <c r="K322" t="inlineStr">
        <is>
          <t>clasen_boger</t>
        </is>
      </c>
      <c r="L322" t="inlineStr">
        <is>
          <t>julia/experiments/tnwpaper/outputs/exptl_comparison</t>
        </is>
      </c>
      <c r="M322" t="inlineStr">
        <is>
          <t>SUPERSEDED: Boger A-D c/c* geometric (use clasen_boger_km)</t>
        </is>
      </c>
    </row>
    <row r="323">
      <c r="A323" t="b">
        <v>0</v>
      </c>
      <c r="B323" t="n">
        <v>322</v>
      </c>
      <c r="C323" t="inlineStr">
        <is>
          <t>C3</t>
        </is>
      </c>
      <c r="D323" t="inlineStr">
        <is>
          <t>styext</t>
        </is>
      </c>
      <c r="E323" t="n">
        <v>7682</v>
      </c>
      <c r="F323" t="n">
        <v>0.03</v>
      </c>
      <c r="G323" t="inlineStr">
        <is>
          <t>fenepm</t>
        </is>
      </c>
      <c r="H323" t="inlineStr">
        <is>
          <t>c2d2</t>
        </is>
      </c>
      <c r="I323" t="n">
        <v>0.013452</v>
      </c>
      <c r="J323" t="n">
        <v>1</v>
      </c>
      <c r="K323" t="inlineStr">
        <is>
          <t>clasen_boger</t>
        </is>
      </c>
      <c r="L323" t="inlineStr">
        <is>
          <t>julia/experiments/tnwpaper/outputs/exptl_comparison</t>
        </is>
      </c>
      <c r="M323" t="inlineStr">
        <is>
          <t>SUPERSEDED: Boger A-D c/c* geometric (use clasen_boger_km)</t>
        </is>
      </c>
    </row>
    <row r="324">
      <c r="A324" t="b">
        <v>0</v>
      </c>
      <c r="B324" t="n">
        <v>323</v>
      </c>
      <c r="C324" t="inlineStr">
        <is>
          <t>C3</t>
        </is>
      </c>
      <c r="D324" t="inlineStr">
        <is>
          <t>caber</t>
        </is>
      </c>
      <c r="E324" t="n">
        <v>7682</v>
      </c>
      <c r="F324" t="n">
        <v>0.03</v>
      </c>
      <c r="G324" t="inlineStr">
        <is>
          <t>fenepm</t>
        </is>
      </c>
      <c r="H324" t="inlineStr">
        <is>
          <t>constant</t>
        </is>
      </c>
      <c r="I324" t="n">
        <v>0.013452</v>
      </c>
      <c r="J324" t="inlineStr">
        <is>
          <t>[0.01, 0.03, 0.1, 0.3, 1, 3, 10, 30, 100]</t>
        </is>
      </c>
      <c r="K324" t="inlineStr">
        <is>
          <t>clasen_boger</t>
        </is>
      </c>
      <c r="L324" t="inlineStr">
        <is>
          <t>julia/experiments/tnwpaper/outputs/exptl_comparison</t>
        </is>
      </c>
      <c r="M324" t="inlineStr">
        <is>
          <t>SUPERSEDED: Boger A-D c/c* geometric (use clasen_boger_km)</t>
        </is>
      </c>
    </row>
    <row r="325">
      <c r="A325" t="b">
        <v>0</v>
      </c>
      <c r="B325" t="n">
        <v>324</v>
      </c>
      <c r="C325" t="inlineStr">
        <is>
          <t>C3</t>
        </is>
      </c>
      <c r="D325" t="inlineStr">
        <is>
          <t>caber</t>
        </is>
      </c>
      <c r="E325" t="n">
        <v>7682</v>
      </c>
      <c r="F325" t="n">
        <v>0.03</v>
      </c>
      <c r="G325" t="inlineStr">
        <is>
          <t>fenepm</t>
        </is>
      </c>
      <c r="H325" t="inlineStr">
        <is>
          <t>c2d2</t>
        </is>
      </c>
      <c r="I325" t="n">
        <v>0.013452</v>
      </c>
      <c r="J325" t="inlineStr">
        <is>
          <t>[0.01, 0.03, 0.1, 0.3, 1, 3, 10, 30, 100]</t>
        </is>
      </c>
      <c r="K325" t="inlineStr">
        <is>
          <t>clasen_boger</t>
        </is>
      </c>
      <c r="L325" t="inlineStr">
        <is>
          <t>julia/experiments/tnwpaper/outputs/exptl_comparison</t>
        </is>
      </c>
      <c r="M325" t="inlineStr">
        <is>
          <t>SUPERSEDED: Boger A-D c/c* geometric (use clasen_boger_km)</t>
        </is>
      </c>
    </row>
    <row r="326">
      <c r="A326" t="b">
        <v>0</v>
      </c>
      <c r="B326" t="n">
        <v>325</v>
      </c>
      <c r="C326" t="inlineStr">
        <is>
          <t>C4</t>
        </is>
      </c>
      <c r="D326" t="inlineStr">
        <is>
          <t>styext</t>
        </is>
      </c>
      <c r="E326" t="n">
        <v>7682</v>
      </c>
      <c r="F326" t="n">
        <v>0.03</v>
      </c>
      <c r="G326" t="inlineStr">
        <is>
          <t>fenepm</t>
        </is>
      </c>
      <c r="H326" t="inlineStr">
        <is>
          <t>constant</t>
        </is>
      </c>
      <c r="I326" t="n">
        <v>0.042571</v>
      </c>
      <c r="J326" t="n">
        <v>1</v>
      </c>
      <c r="K326" t="inlineStr">
        <is>
          <t>clasen_boger</t>
        </is>
      </c>
      <c r="L326" t="inlineStr">
        <is>
          <t>julia/experiments/tnwpaper/outputs/exptl_comparison</t>
        </is>
      </c>
      <c r="M326" t="inlineStr">
        <is>
          <t>SUPERSEDED: Boger A-D c/c* geometric (use clasen_boger_km)</t>
        </is>
      </c>
    </row>
    <row r="327">
      <c r="A327" t="b">
        <v>0</v>
      </c>
      <c r="B327" t="n">
        <v>326</v>
      </c>
      <c r="C327" t="inlineStr">
        <is>
          <t>C4</t>
        </is>
      </c>
      <c r="D327" t="inlineStr">
        <is>
          <t>styext</t>
        </is>
      </c>
      <c r="E327" t="n">
        <v>7682</v>
      </c>
      <c r="F327" t="n">
        <v>0.03</v>
      </c>
      <c r="G327" t="inlineStr">
        <is>
          <t>fenepm</t>
        </is>
      </c>
      <c r="H327" t="inlineStr">
        <is>
          <t>c2d2</t>
        </is>
      </c>
      <c r="I327" t="n">
        <v>0.042571</v>
      </c>
      <c r="J327" t="n">
        <v>1</v>
      </c>
      <c r="K327" t="inlineStr">
        <is>
          <t>clasen_boger</t>
        </is>
      </c>
      <c r="L327" t="inlineStr">
        <is>
          <t>julia/experiments/tnwpaper/outputs/exptl_comparison</t>
        </is>
      </c>
      <c r="M327" t="inlineStr">
        <is>
          <t>SUPERSEDED: Boger A-D c/c* geometric (use clasen_boger_km)</t>
        </is>
      </c>
    </row>
    <row r="328">
      <c r="A328" t="b">
        <v>0</v>
      </c>
      <c r="B328" t="n">
        <v>327</v>
      </c>
      <c r="C328" t="inlineStr">
        <is>
          <t>C4</t>
        </is>
      </c>
      <c r="D328" t="inlineStr">
        <is>
          <t>caber</t>
        </is>
      </c>
      <c r="E328" t="n">
        <v>7682</v>
      </c>
      <c r="F328" t="n">
        <v>0.03</v>
      </c>
      <c r="G328" t="inlineStr">
        <is>
          <t>fenepm</t>
        </is>
      </c>
      <c r="H328" t="inlineStr">
        <is>
          <t>constant</t>
        </is>
      </c>
      <c r="I328" t="n">
        <v>0.042571</v>
      </c>
      <c r="J328" t="inlineStr">
        <is>
          <t>[0.01, 0.03, 0.1, 0.3, 1, 3, 10, 30, 100]</t>
        </is>
      </c>
      <c r="K328" t="inlineStr">
        <is>
          <t>clasen_boger</t>
        </is>
      </c>
      <c r="L328" t="inlineStr">
        <is>
          <t>julia/experiments/tnwpaper/outputs/exptl_comparison</t>
        </is>
      </c>
      <c r="M328" t="inlineStr">
        <is>
          <t>SUPERSEDED: Boger A-D c/c* geometric (use clasen_boger_km)</t>
        </is>
      </c>
    </row>
    <row r="329">
      <c r="A329" t="b">
        <v>0</v>
      </c>
      <c r="B329" t="n">
        <v>328</v>
      </c>
      <c r="C329" t="inlineStr">
        <is>
          <t>C4</t>
        </is>
      </c>
      <c r="D329" t="inlineStr">
        <is>
          <t>caber</t>
        </is>
      </c>
      <c r="E329" t="n">
        <v>7682</v>
      </c>
      <c r="F329" t="n">
        <v>0.03</v>
      </c>
      <c r="G329" t="inlineStr">
        <is>
          <t>fenepm</t>
        </is>
      </c>
      <c r="H329" t="inlineStr">
        <is>
          <t>c2d2</t>
        </is>
      </c>
      <c r="I329" t="n">
        <v>0.042571</v>
      </c>
      <c r="J329" t="inlineStr">
        <is>
          <t>[0.01, 0.03, 0.1, 0.3, 1, 3, 10, 30, 100]</t>
        </is>
      </c>
      <c r="K329" t="inlineStr">
        <is>
          <t>clasen_boger</t>
        </is>
      </c>
      <c r="L329" t="inlineStr">
        <is>
          <t>julia/experiments/tnwpaper/outputs/exptl_comparison</t>
        </is>
      </c>
      <c r="M329" t="inlineStr">
        <is>
          <t>SUPERSEDED: Boger A-D c/c* geometric (use clasen_boger_km)</t>
        </is>
      </c>
    </row>
    <row r="330">
      <c r="A330" t="b">
        <v>0</v>
      </c>
      <c r="B330" t="n">
        <v>329</v>
      </c>
      <c r="C330" t="inlineStr">
        <is>
          <t>C5</t>
        </is>
      </c>
      <c r="D330" t="inlineStr">
        <is>
          <t>styext</t>
        </is>
      </c>
      <c r="E330" t="n">
        <v>7682</v>
      </c>
      <c r="F330" t="n">
        <v>0.03</v>
      </c>
      <c r="G330" t="inlineStr">
        <is>
          <t>fenepm</t>
        </is>
      </c>
      <c r="H330" t="inlineStr">
        <is>
          <t>constant</t>
        </is>
      </c>
      <c r="I330" t="n">
        <v>0.134523</v>
      </c>
      <c r="J330" t="n">
        <v>1</v>
      </c>
      <c r="K330" t="inlineStr">
        <is>
          <t>clasen_boger</t>
        </is>
      </c>
      <c r="L330" t="inlineStr">
        <is>
          <t>julia/experiments/tnwpaper/outputs/exptl_comparison</t>
        </is>
      </c>
      <c r="M330" t="inlineStr">
        <is>
          <t>SUPERSEDED: Boger A-D c/c* geometric (use clasen_boger_km)</t>
        </is>
      </c>
    </row>
    <row r="331">
      <c r="A331" t="b">
        <v>0</v>
      </c>
      <c r="B331" t="n">
        <v>330</v>
      </c>
      <c r="C331" t="inlineStr">
        <is>
          <t>C5</t>
        </is>
      </c>
      <c r="D331" t="inlineStr">
        <is>
          <t>styext</t>
        </is>
      </c>
      <c r="E331" t="n">
        <v>7682</v>
      </c>
      <c r="F331" t="n">
        <v>0.03</v>
      </c>
      <c r="G331" t="inlineStr">
        <is>
          <t>fenepm</t>
        </is>
      </c>
      <c r="H331" t="inlineStr">
        <is>
          <t>c2d2</t>
        </is>
      </c>
      <c r="I331" t="n">
        <v>0.134523</v>
      </c>
      <c r="J331" t="n">
        <v>1</v>
      </c>
      <c r="K331" t="inlineStr">
        <is>
          <t>clasen_boger</t>
        </is>
      </c>
      <c r="L331" t="inlineStr">
        <is>
          <t>julia/experiments/tnwpaper/outputs/exptl_comparison</t>
        </is>
      </c>
      <c r="M331" t="inlineStr">
        <is>
          <t>SUPERSEDED: Boger A-D c/c* geometric (use clasen_boger_km)</t>
        </is>
      </c>
    </row>
    <row r="332">
      <c r="A332" t="b">
        <v>0</v>
      </c>
      <c r="B332" t="n">
        <v>331</v>
      </c>
      <c r="C332" t="inlineStr">
        <is>
          <t>C5</t>
        </is>
      </c>
      <c r="D332" t="inlineStr">
        <is>
          <t>caber</t>
        </is>
      </c>
      <c r="E332" t="n">
        <v>7682</v>
      </c>
      <c r="F332" t="n">
        <v>0.03</v>
      </c>
      <c r="G332" t="inlineStr">
        <is>
          <t>fenepm</t>
        </is>
      </c>
      <c r="H332" t="inlineStr">
        <is>
          <t>constant</t>
        </is>
      </c>
      <c r="I332" t="n">
        <v>0.134523</v>
      </c>
      <c r="J332" t="inlineStr">
        <is>
          <t>[0.01, 0.03, 0.1, 0.3, 1, 3, 10, 30, 100]</t>
        </is>
      </c>
      <c r="K332" t="inlineStr">
        <is>
          <t>clasen_boger</t>
        </is>
      </c>
      <c r="L332" t="inlineStr">
        <is>
          <t>julia/experiments/tnwpaper/outputs/exptl_comparison</t>
        </is>
      </c>
      <c r="M332" t="inlineStr">
        <is>
          <t>SUPERSEDED: Boger A-D c/c* geometric (use clasen_boger_km)</t>
        </is>
      </c>
    </row>
    <row r="333">
      <c r="A333" t="b">
        <v>0</v>
      </c>
      <c r="B333" t="n">
        <v>332</v>
      </c>
      <c r="C333" t="inlineStr">
        <is>
          <t>C5</t>
        </is>
      </c>
      <c r="D333" t="inlineStr">
        <is>
          <t>caber</t>
        </is>
      </c>
      <c r="E333" t="n">
        <v>7682</v>
      </c>
      <c r="F333" t="n">
        <v>0.03</v>
      </c>
      <c r="G333" t="inlineStr">
        <is>
          <t>fenepm</t>
        </is>
      </c>
      <c r="H333" t="inlineStr">
        <is>
          <t>c2d2</t>
        </is>
      </c>
      <c r="I333" t="n">
        <v>0.134523</v>
      </c>
      <c r="J333" t="inlineStr">
        <is>
          <t>[0.01, 0.03, 0.1, 0.3, 1, 3, 10, 30, 100]</t>
        </is>
      </c>
      <c r="K333" t="inlineStr">
        <is>
          <t>clasen_boger</t>
        </is>
      </c>
      <c r="L333" t="inlineStr">
        <is>
          <t>julia/experiments/tnwpaper/outputs/exptl_comparison</t>
        </is>
      </c>
      <c r="M333" t="inlineStr">
        <is>
          <t>SUPERSEDED: Boger A-D c/c* geometric (use clasen_boger_km)</t>
        </is>
      </c>
    </row>
    <row r="334">
      <c r="A334" t="b">
        <v>0</v>
      </c>
      <c r="B334" t="n">
        <v>333</v>
      </c>
      <c r="C334" t="inlineStr">
        <is>
          <t>D1</t>
        </is>
      </c>
      <c r="D334" t="inlineStr">
        <is>
          <t>styext</t>
        </is>
      </c>
      <c r="E334" t="n">
        <v>8086</v>
      </c>
      <c r="F334" t="n">
        <v>0.03</v>
      </c>
      <c r="G334" t="inlineStr">
        <is>
          <t>fenepm</t>
        </is>
      </c>
      <c r="H334" t="inlineStr">
        <is>
          <t>constant</t>
        </is>
      </c>
      <c r="I334" t="n">
        <v>0.004368</v>
      </c>
      <c r="J334" t="n">
        <v>1</v>
      </c>
      <c r="K334" t="inlineStr">
        <is>
          <t>clasen_boger</t>
        </is>
      </c>
      <c r="L334" t="inlineStr">
        <is>
          <t>julia/experiments/tnwpaper/outputs/exptl_comparison</t>
        </is>
      </c>
      <c r="M334" t="inlineStr">
        <is>
          <t>SUPERSEDED: Boger A-D c/c* geometric (use clasen_boger_km)</t>
        </is>
      </c>
    </row>
    <row r="335">
      <c r="A335" t="b">
        <v>0</v>
      </c>
      <c r="B335" t="n">
        <v>334</v>
      </c>
      <c r="C335" t="inlineStr">
        <is>
          <t>D1</t>
        </is>
      </c>
      <c r="D335" t="inlineStr">
        <is>
          <t>styext</t>
        </is>
      </c>
      <c r="E335" t="n">
        <v>8086</v>
      </c>
      <c r="F335" t="n">
        <v>0.03</v>
      </c>
      <c r="G335" t="inlineStr">
        <is>
          <t>fenepm</t>
        </is>
      </c>
      <c r="H335" t="inlineStr">
        <is>
          <t>c2d2</t>
        </is>
      </c>
      <c r="I335" t="n">
        <v>0.004368</v>
      </c>
      <c r="J335" t="n">
        <v>1</v>
      </c>
      <c r="K335" t="inlineStr">
        <is>
          <t>clasen_boger</t>
        </is>
      </c>
      <c r="L335" t="inlineStr">
        <is>
          <t>julia/experiments/tnwpaper/outputs/exptl_comparison</t>
        </is>
      </c>
      <c r="M335" t="inlineStr">
        <is>
          <t>SUPERSEDED: Boger A-D c/c* geometric (use clasen_boger_km)</t>
        </is>
      </c>
    </row>
    <row r="336">
      <c r="A336" t="b">
        <v>0</v>
      </c>
      <c r="B336" t="n">
        <v>335</v>
      </c>
      <c r="C336" t="inlineStr">
        <is>
          <t>D1</t>
        </is>
      </c>
      <c r="D336" t="inlineStr">
        <is>
          <t>caber</t>
        </is>
      </c>
      <c r="E336" t="n">
        <v>8086</v>
      </c>
      <c r="F336" t="n">
        <v>0.03</v>
      </c>
      <c r="G336" t="inlineStr">
        <is>
          <t>fenepm</t>
        </is>
      </c>
      <c r="H336" t="inlineStr">
        <is>
          <t>constant</t>
        </is>
      </c>
      <c r="I336" t="n">
        <v>0.004368</v>
      </c>
      <c r="J336" t="inlineStr">
        <is>
          <t>[0.01, 0.03, 0.1, 0.3, 1, 3, 10, 30, 100]</t>
        </is>
      </c>
      <c r="K336" t="inlineStr">
        <is>
          <t>clasen_boger</t>
        </is>
      </c>
      <c r="L336" t="inlineStr">
        <is>
          <t>julia/experiments/tnwpaper/outputs/exptl_comparison</t>
        </is>
      </c>
      <c r="M336" t="inlineStr">
        <is>
          <t>SUPERSEDED: Boger A-D c/c* geometric (use clasen_boger_km)</t>
        </is>
      </c>
    </row>
    <row r="337">
      <c r="A337" t="b">
        <v>0</v>
      </c>
      <c r="B337" t="n">
        <v>336</v>
      </c>
      <c r="C337" t="inlineStr">
        <is>
          <t>D1</t>
        </is>
      </c>
      <c r="D337" t="inlineStr">
        <is>
          <t>caber</t>
        </is>
      </c>
      <c r="E337" t="n">
        <v>8086</v>
      </c>
      <c r="F337" t="n">
        <v>0.03</v>
      </c>
      <c r="G337" t="inlineStr">
        <is>
          <t>fenepm</t>
        </is>
      </c>
      <c r="H337" t="inlineStr">
        <is>
          <t>c2d2</t>
        </is>
      </c>
      <c r="I337" t="n">
        <v>0.004368</v>
      </c>
      <c r="J337" t="inlineStr">
        <is>
          <t>[0.01, 0.03, 0.1, 0.3, 1, 3, 10, 30, 100]</t>
        </is>
      </c>
      <c r="K337" t="inlineStr">
        <is>
          <t>clasen_boger</t>
        </is>
      </c>
      <c r="L337" t="inlineStr">
        <is>
          <t>julia/experiments/tnwpaper/outputs/exptl_comparison</t>
        </is>
      </c>
      <c r="M337" t="inlineStr">
        <is>
          <t>SUPERSEDED: Boger A-D c/c* geometric (use clasen_boger_km)</t>
        </is>
      </c>
    </row>
    <row r="338">
      <c r="A338" t="b">
        <v>0</v>
      </c>
      <c r="B338" t="n">
        <v>337</v>
      </c>
      <c r="C338" t="inlineStr">
        <is>
          <t>D2</t>
        </is>
      </c>
      <c r="D338" t="inlineStr">
        <is>
          <t>styext</t>
        </is>
      </c>
      <c r="E338" t="n">
        <v>8086</v>
      </c>
      <c r="F338" t="n">
        <v>0.03</v>
      </c>
      <c r="G338" t="inlineStr">
        <is>
          <t>fenepm</t>
        </is>
      </c>
      <c r="H338" t="inlineStr">
        <is>
          <t>constant</t>
        </is>
      </c>
      <c r="I338" t="n">
        <v>0.021838</v>
      </c>
      <c r="J338" t="n">
        <v>1</v>
      </c>
      <c r="K338" t="inlineStr">
        <is>
          <t>clasen_boger</t>
        </is>
      </c>
      <c r="L338" t="inlineStr">
        <is>
          <t>julia/experiments/tnwpaper/outputs/exptl_comparison</t>
        </is>
      </c>
      <c r="M338" t="inlineStr">
        <is>
          <t>SUPERSEDED: Boger A-D c/c* geometric (use clasen_boger_km)</t>
        </is>
      </c>
    </row>
    <row r="339">
      <c r="A339" t="b">
        <v>0</v>
      </c>
      <c r="B339" t="n">
        <v>338</v>
      </c>
      <c r="C339" t="inlineStr">
        <is>
          <t>D2</t>
        </is>
      </c>
      <c r="D339" t="inlineStr">
        <is>
          <t>styext</t>
        </is>
      </c>
      <c r="E339" t="n">
        <v>8086</v>
      </c>
      <c r="F339" t="n">
        <v>0.03</v>
      </c>
      <c r="G339" t="inlineStr">
        <is>
          <t>fenepm</t>
        </is>
      </c>
      <c r="H339" t="inlineStr">
        <is>
          <t>c2d2</t>
        </is>
      </c>
      <c r="I339" t="n">
        <v>0.021838</v>
      </c>
      <c r="J339" t="n">
        <v>1</v>
      </c>
      <c r="K339" t="inlineStr">
        <is>
          <t>clasen_boger</t>
        </is>
      </c>
      <c r="L339" t="inlineStr">
        <is>
          <t>julia/experiments/tnwpaper/outputs/exptl_comparison</t>
        </is>
      </c>
      <c r="M339" t="inlineStr">
        <is>
          <t>SUPERSEDED: Boger A-D c/c* geometric (use clasen_boger_km)</t>
        </is>
      </c>
    </row>
    <row r="340">
      <c r="A340" t="b">
        <v>0</v>
      </c>
      <c r="B340" t="n">
        <v>339</v>
      </c>
      <c r="C340" t="inlineStr">
        <is>
          <t>D2</t>
        </is>
      </c>
      <c r="D340" t="inlineStr">
        <is>
          <t>caber</t>
        </is>
      </c>
      <c r="E340" t="n">
        <v>8086</v>
      </c>
      <c r="F340" t="n">
        <v>0.03</v>
      </c>
      <c r="G340" t="inlineStr">
        <is>
          <t>fenepm</t>
        </is>
      </c>
      <c r="H340" t="inlineStr">
        <is>
          <t>constant</t>
        </is>
      </c>
      <c r="I340" t="n">
        <v>0.021838</v>
      </c>
      <c r="J340" t="inlineStr">
        <is>
          <t>[0.01, 0.03, 0.1, 0.3, 1, 3, 10, 30, 100]</t>
        </is>
      </c>
      <c r="K340" t="inlineStr">
        <is>
          <t>clasen_boger</t>
        </is>
      </c>
      <c r="L340" t="inlineStr">
        <is>
          <t>julia/experiments/tnwpaper/outputs/exptl_comparison</t>
        </is>
      </c>
      <c r="M340" t="inlineStr">
        <is>
          <t>SUPERSEDED: Boger A-D c/c* geometric (use clasen_boger_km)</t>
        </is>
      </c>
    </row>
    <row r="341">
      <c r="A341" t="b">
        <v>0</v>
      </c>
      <c r="B341" t="n">
        <v>340</v>
      </c>
      <c r="C341" t="inlineStr">
        <is>
          <t>D2</t>
        </is>
      </c>
      <c r="D341" t="inlineStr">
        <is>
          <t>caber</t>
        </is>
      </c>
      <c r="E341" t="n">
        <v>8086</v>
      </c>
      <c r="F341" t="n">
        <v>0.03</v>
      </c>
      <c r="G341" t="inlineStr">
        <is>
          <t>fenepm</t>
        </is>
      </c>
      <c r="H341" t="inlineStr">
        <is>
          <t>c2d2</t>
        </is>
      </c>
      <c r="I341" t="n">
        <v>0.021838</v>
      </c>
      <c r="J341" t="inlineStr">
        <is>
          <t>[0.01, 0.03, 0.1, 0.3, 1, 3, 10, 30, 100]</t>
        </is>
      </c>
      <c r="K341" t="inlineStr">
        <is>
          <t>clasen_boger</t>
        </is>
      </c>
      <c r="L341" t="inlineStr">
        <is>
          <t>julia/experiments/tnwpaper/outputs/exptl_comparison</t>
        </is>
      </c>
      <c r="M341" t="inlineStr">
        <is>
          <t>SUPERSEDED: Boger A-D c/c* geometric (use clasen_boger_km)</t>
        </is>
      </c>
    </row>
    <row r="342">
      <c r="A342" t="b">
        <v>0</v>
      </c>
      <c r="B342" t="n">
        <v>341</v>
      </c>
      <c r="C342" t="inlineStr">
        <is>
          <t>D3</t>
        </is>
      </c>
      <c r="D342" t="inlineStr">
        <is>
          <t>styext</t>
        </is>
      </c>
      <c r="E342" t="n">
        <v>8086</v>
      </c>
      <c r="F342" t="n">
        <v>0.03</v>
      </c>
      <c r="G342" t="inlineStr">
        <is>
          <t>fenepm</t>
        </is>
      </c>
      <c r="H342" t="inlineStr">
        <is>
          <t>constant</t>
        </is>
      </c>
      <c r="I342" t="n">
        <v>0.043676</v>
      </c>
      <c r="J342" t="n">
        <v>1</v>
      </c>
      <c r="K342" t="inlineStr">
        <is>
          <t>clasen_boger</t>
        </is>
      </c>
      <c r="L342" t="inlineStr">
        <is>
          <t>julia/experiments/tnwpaper/outputs/exptl_comparison</t>
        </is>
      </c>
      <c r="M342" t="inlineStr">
        <is>
          <t>SUPERSEDED: Boger A-D c/c* geometric (use clasen_boger_km)</t>
        </is>
      </c>
    </row>
    <row r="343">
      <c r="A343" t="b">
        <v>0</v>
      </c>
      <c r="B343" t="n">
        <v>342</v>
      </c>
      <c r="C343" t="inlineStr">
        <is>
          <t>D3</t>
        </is>
      </c>
      <c r="D343" t="inlineStr">
        <is>
          <t>styext</t>
        </is>
      </c>
      <c r="E343" t="n">
        <v>8086</v>
      </c>
      <c r="F343" t="n">
        <v>0.03</v>
      </c>
      <c r="G343" t="inlineStr">
        <is>
          <t>fenepm</t>
        </is>
      </c>
      <c r="H343" t="inlineStr">
        <is>
          <t>c2d2</t>
        </is>
      </c>
      <c r="I343" t="n">
        <v>0.043676</v>
      </c>
      <c r="J343" t="n">
        <v>1</v>
      </c>
      <c r="K343" t="inlineStr">
        <is>
          <t>clasen_boger</t>
        </is>
      </c>
      <c r="L343" t="inlineStr">
        <is>
          <t>julia/experiments/tnwpaper/outputs/exptl_comparison</t>
        </is>
      </c>
      <c r="M343" t="inlineStr">
        <is>
          <t>SUPERSEDED: Boger A-D c/c* geometric (use clasen_boger_km)</t>
        </is>
      </c>
    </row>
    <row r="344">
      <c r="A344" t="b">
        <v>0</v>
      </c>
      <c r="B344" t="n">
        <v>343</v>
      </c>
      <c r="C344" t="inlineStr">
        <is>
          <t>D3</t>
        </is>
      </c>
      <c r="D344" t="inlineStr">
        <is>
          <t>caber</t>
        </is>
      </c>
      <c r="E344" t="n">
        <v>8086</v>
      </c>
      <c r="F344" t="n">
        <v>0.03</v>
      </c>
      <c r="G344" t="inlineStr">
        <is>
          <t>fenepm</t>
        </is>
      </c>
      <c r="H344" t="inlineStr">
        <is>
          <t>constant</t>
        </is>
      </c>
      <c r="I344" t="n">
        <v>0.043676</v>
      </c>
      <c r="J344" t="inlineStr">
        <is>
          <t>[0.01, 0.03, 0.1, 0.3, 1, 3, 10, 30, 100]</t>
        </is>
      </c>
      <c r="K344" t="inlineStr">
        <is>
          <t>clasen_boger</t>
        </is>
      </c>
      <c r="L344" t="inlineStr">
        <is>
          <t>julia/experiments/tnwpaper/outputs/exptl_comparison</t>
        </is>
      </c>
      <c r="M344" t="inlineStr">
        <is>
          <t>SUPERSEDED: Boger A-D c/c* geometric (use clasen_boger_km)</t>
        </is>
      </c>
    </row>
    <row r="345">
      <c r="A345" t="b">
        <v>0</v>
      </c>
      <c r="B345" t="n">
        <v>344</v>
      </c>
      <c r="C345" t="inlineStr">
        <is>
          <t>D3</t>
        </is>
      </c>
      <c r="D345" t="inlineStr">
        <is>
          <t>caber</t>
        </is>
      </c>
      <c r="E345" t="n">
        <v>8086</v>
      </c>
      <c r="F345" t="n">
        <v>0.03</v>
      </c>
      <c r="G345" t="inlineStr">
        <is>
          <t>fenepm</t>
        </is>
      </c>
      <c r="H345" t="inlineStr">
        <is>
          <t>c2d2</t>
        </is>
      </c>
      <c r="I345" t="n">
        <v>0.043676</v>
      </c>
      <c r="J345" t="inlineStr">
        <is>
          <t>[0.01, 0.03, 0.1, 0.3, 1, 3, 10, 30, 100]</t>
        </is>
      </c>
      <c r="K345" t="inlineStr">
        <is>
          <t>clasen_boger</t>
        </is>
      </c>
      <c r="L345" t="inlineStr">
        <is>
          <t>julia/experiments/tnwpaper/outputs/exptl_comparison</t>
        </is>
      </c>
      <c r="M345" t="inlineStr">
        <is>
          <t>SUPERSEDED: Boger A-D c/c* geometric (use clasen_boger_km)</t>
        </is>
      </c>
    </row>
    <row r="346">
      <c r="A346" t="b">
        <v>0</v>
      </c>
      <c r="B346" t="n">
        <v>345</v>
      </c>
      <c r="C346" t="inlineStr">
        <is>
          <t>D4</t>
        </is>
      </c>
      <c r="D346" t="inlineStr">
        <is>
          <t>styext</t>
        </is>
      </c>
      <c r="E346" t="n">
        <v>8086</v>
      </c>
      <c r="F346" t="n">
        <v>0.03</v>
      </c>
      <c r="G346" t="inlineStr">
        <is>
          <t>fenepm</t>
        </is>
      </c>
      <c r="H346" t="inlineStr">
        <is>
          <t>constant</t>
        </is>
      </c>
      <c r="I346" t="n">
        <v>0.109191</v>
      </c>
      <c r="J346" t="n">
        <v>1</v>
      </c>
      <c r="K346" t="inlineStr">
        <is>
          <t>clasen_boger</t>
        </is>
      </c>
      <c r="L346" t="inlineStr">
        <is>
          <t>julia/experiments/tnwpaper/outputs/exptl_comparison</t>
        </is>
      </c>
      <c r="M346" t="inlineStr">
        <is>
          <t>SUPERSEDED: Boger A-D c/c* geometric (use clasen_boger_km)</t>
        </is>
      </c>
    </row>
    <row r="347">
      <c r="A347" t="b">
        <v>0</v>
      </c>
      <c r="B347" t="n">
        <v>346</v>
      </c>
      <c r="C347" t="inlineStr">
        <is>
          <t>D4</t>
        </is>
      </c>
      <c r="D347" t="inlineStr">
        <is>
          <t>styext</t>
        </is>
      </c>
      <c r="E347" t="n">
        <v>8086</v>
      </c>
      <c r="F347" t="n">
        <v>0.03</v>
      </c>
      <c r="G347" t="inlineStr">
        <is>
          <t>fenepm</t>
        </is>
      </c>
      <c r="H347" t="inlineStr">
        <is>
          <t>c2d2</t>
        </is>
      </c>
      <c r="I347" t="n">
        <v>0.109191</v>
      </c>
      <c r="J347" t="n">
        <v>1</v>
      </c>
      <c r="K347" t="inlineStr">
        <is>
          <t>clasen_boger</t>
        </is>
      </c>
      <c r="L347" t="inlineStr">
        <is>
          <t>julia/experiments/tnwpaper/outputs/exptl_comparison</t>
        </is>
      </c>
      <c r="M347" t="inlineStr">
        <is>
          <t>SUPERSEDED: Boger A-D c/c* geometric (use clasen_boger_km)</t>
        </is>
      </c>
    </row>
    <row r="348">
      <c r="A348" t="b">
        <v>0</v>
      </c>
      <c r="B348" t="n">
        <v>347</v>
      </c>
      <c r="C348" t="inlineStr">
        <is>
          <t>D4</t>
        </is>
      </c>
      <c r="D348" t="inlineStr">
        <is>
          <t>caber</t>
        </is>
      </c>
      <c r="E348" t="n">
        <v>8086</v>
      </c>
      <c r="F348" t="n">
        <v>0.03</v>
      </c>
      <c r="G348" t="inlineStr">
        <is>
          <t>fenepm</t>
        </is>
      </c>
      <c r="H348" t="inlineStr">
        <is>
          <t>constant</t>
        </is>
      </c>
      <c r="I348" t="n">
        <v>0.109191</v>
      </c>
      <c r="J348" t="inlineStr">
        <is>
          <t>[0.01, 0.03, 0.1, 0.3, 1, 3, 10, 30, 100]</t>
        </is>
      </c>
      <c r="K348" t="inlineStr">
        <is>
          <t>clasen_boger</t>
        </is>
      </c>
      <c r="L348" t="inlineStr">
        <is>
          <t>julia/experiments/tnwpaper/outputs/exptl_comparison</t>
        </is>
      </c>
      <c r="M348" t="inlineStr">
        <is>
          <t>SUPERSEDED: Boger A-D c/c* geometric (use clasen_boger_km)</t>
        </is>
      </c>
    </row>
    <row r="349">
      <c r="A349" t="b">
        <v>0</v>
      </c>
      <c r="B349" t="n">
        <v>348</v>
      </c>
      <c r="C349" t="inlineStr">
        <is>
          <t>D4</t>
        </is>
      </c>
      <c r="D349" t="inlineStr">
        <is>
          <t>caber</t>
        </is>
      </c>
      <c r="E349" t="n">
        <v>8086</v>
      </c>
      <c r="F349" t="n">
        <v>0.03</v>
      </c>
      <c r="G349" t="inlineStr">
        <is>
          <t>fenepm</t>
        </is>
      </c>
      <c r="H349" t="inlineStr">
        <is>
          <t>c2d2</t>
        </is>
      </c>
      <c r="I349" t="n">
        <v>0.109191</v>
      </c>
      <c r="J349" t="inlineStr">
        <is>
          <t>[0.01, 0.03, 0.1, 0.3, 1, 3, 10, 30, 100]</t>
        </is>
      </c>
      <c r="K349" t="inlineStr">
        <is>
          <t>clasen_boger</t>
        </is>
      </c>
      <c r="L349" t="inlineStr">
        <is>
          <t>julia/experiments/tnwpaper/outputs/exptl_comparison</t>
        </is>
      </c>
      <c r="M349" t="inlineStr">
        <is>
          <t>SUPERSEDED: Boger A-D c/c* geometric (use clasen_boger_km)</t>
        </is>
      </c>
    </row>
    <row r="350">
      <c r="A350" t="b">
        <v>0</v>
      </c>
      <c r="B350" t="n">
        <v>349</v>
      </c>
      <c r="C350" t="inlineStr">
        <is>
          <t>D5</t>
        </is>
      </c>
      <c r="D350" t="inlineStr">
        <is>
          <t>styext</t>
        </is>
      </c>
      <c r="E350" t="n">
        <v>8086</v>
      </c>
      <c r="F350" t="n">
        <v>0.03</v>
      </c>
      <c r="G350" t="inlineStr">
        <is>
          <t>fenepm</t>
        </is>
      </c>
      <c r="H350" t="inlineStr">
        <is>
          <t>constant</t>
        </is>
      </c>
      <c r="I350" t="n">
        <v>0.327574</v>
      </c>
      <c r="J350" t="n">
        <v>1</v>
      </c>
      <c r="K350" t="inlineStr">
        <is>
          <t>clasen_boger</t>
        </is>
      </c>
      <c r="L350" t="inlineStr">
        <is>
          <t>julia/experiments/tnwpaper/outputs/exptl_comparison</t>
        </is>
      </c>
      <c r="M350" t="inlineStr">
        <is>
          <t>SUPERSEDED: Boger A-D c/c* geometric (use clasen_boger_km)</t>
        </is>
      </c>
    </row>
    <row r="351">
      <c r="A351" t="b">
        <v>0</v>
      </c>
      <c r="B351" t="n">
        <v>350</v>
      </c>
      <c r="C351" t="inlineStr">
        <is>
          <t>D5</t>
        </is>
      </c>
      <c r="D351" t="inlineStr">
        <is>
          <t>styext</t>
        </is>
      </c>
      <c r="E351" t="n">
        <v>8086</v>
      </c>
      <c r="F351" t="n">
        <v>0.03</v>
      </c>
      <c r="G351" t="inlineStr">
        <is>
          <t>fenepm</t>
        </is>
      </c>
      <c r="H351" t="inlineStr">
        <is>
          <t>c2d2</t>
        </is>
      </c>
      <c r="I351" t="n">
        <v>0.327574</v>
      </c>
      <c r="J351" t="n">
        <v>1</v>
      </c>
      <c r="K351" t="inlineStr">
        <is>
          <t>clasen_boger</t>
        </is>
      </c>
      <c r="L351" t="inlineStr">
        <is>
          <t>julia/experiments/tnwpaper/outputs/exptl_comparison</t>
        </is>
      </c>
      <c r="M351" t="inlineStr">
        <is>
          <t>SUPERSEDED: Boger A-D c/c* geometric (use clasen_boger_km)</t>
        </is>
      </c>
    </row>
    <row r="352">
      <c r="A352" t="b">
        <v>0</v>
      </c>
      <c r="B352" t="n">
        <v>351</v>
      </c>
      <c r="C352" t="inlineStr">
        <is>
          <t>D5</t>
        </is>
      </c>
      <c r="D352" t="inlineStr">
        <is>
          <t>caber</t>
        </is>
      </c>
      <c r="E352" t="n">
        <v>8086</v>
      </c>
      <c r="F352" t="n">
        <v>0.03</v>
      </c>
      <c r="G352" t="inlineStr">
        <is>
          <t>fenepm</t>
        </is>
      </c>
      <c r="H352" t="inlineStr">
        <is>
          <t>constant</t>
        </is>
      </c>
      <c r="I352" t="n">
        <v>0.327574</v>
      </c>
      <c r="J352" t="inlineStr">
        <is>
          <t>[0.01, 0.03, 0.1, 0.3, 1, 3, 10, 30, 100]</t>
        </is>
      </c>
      <c r="K352" t="inlineStr">
        <is>
          <t>clasen_boger</t>
        </is>
      </c>
      <c r="L352" t="inlineStr">
        <is>
          <t>julia/experiments/tnwpaper/outputs/exptl_comparison</t>
        </is>
      </c>
      <c r="M352" t="inlineStr">
        <is>
          <t>SUPERSEDED: Boger A-D c/c* geometric (use clasen_boger_km)</t>
        </is>
      </c>
    </row>
    <row r="353">
      <c r="A353" t="b">
        <v>0</v>
      </c>
      <c r="B353" t="n">
        <v>352</v>
      </c>
      <c r="C353" t="inlineStr">
        <is>
          <t>D5</t>
        </is>
      </c>
      <c r="D353" t="inlineStr">
        <is>
          <t>caber</t>
        </is>
      </c>
      <c r="E353" t="n">
        <v>8086</v>
      </c>
      <c r="F353" t="n">
        <v>0.03</v>
      </c>
      <c r="G353" t="inlineStr">
        <is>
          <t>fenepm</t>
        </is>
      </c>
      <c r="H353" t="inlineStr">
        <is>
          <t>c2d2</t>
        </is>
      </c>
      <c r="I353" t="n">
        <v>0.327574</v>
      </c>
      <c r="J353" t="inlineStr">
        <is>
          <t>[0.01, 0.03, 0.1, 0.3, 1, 3, 10, 30, 100]</t>
        </is>
      </c>
      <c r="K353" t="inlineStr">
        <is>
          <t>clasen_boger</t>
        </is>
      </c>
      <c r="L353" t="inlineStr">
        <is>
          <t>julia/experiments/tnwpaper/outputs/exptl_comparison</t>
        </is>
      </c>
      <c r="M353" t="inlineStr">
        <is>
          <t>SUPERSEDED: Boger A-D c/c* geometric (use clasen_boger_km)</t>
        </is>
      </c>
    </row>
    <row r="354">
      <c r="A354" t="b">
        <v>1</v>
      </c>
      <c r="B354" t="n">
        <v>353</v>
      </c>
      <c r="C354" t="inlineStr">
        <is>
          <t>A1</t>
        </is>
      </c>
      <c r="D354" t="inlineStr">
        <is>
          <t>styext</t>
        </is>
      </c>
      <c r="E354" t="n">
        <v>2426</v>
      </c>
      <c r="F354" t="n">
        <v>0.03</v>
      </c>
      <c r="G354" t="inlineStr">
        <is>
          <t>fenepm</t>
        </is>
      </c>
      <c r="H354" t="inlineStr">
        <is>
          <t>constant</t>
        </is>
      </c>
      <c r="I354" t="n">
        <v>0.008883</v>
      </c>
      <c r="J354" t="n">
        <v>1</v>
      </c>
      <c r="K354" t="inlineStr">
        <is>
          <t>clasen_boger_km</t>
        </is>
      </c>
      <c r="L354" t="inlineStr">
        <is>
          <t>julia/experiments/tnwpaper/outputs/exptl_comparison</t>
        </is>
      </c>
      <c r="M354" t="inlineStr">
        <is>
          <t>CANONICAL: Clasen-Boger A-D, c/c*_KM (KM=5), h*K=0.03</t>
        </is>
      </c>
    </row>
    <row r="355">
      <c r="A355" t="b">
        <v>1</v>
      </c>
      <c r="B355" t="n">
        <v>354</v>
      </c>
      <c r="C355" t="inlineStr">
        <is>
          <t>A1</t>
        </is>
      </c>
      <c r="D355" t="inlineStr">
        <is>
          <t>styext</t>
        </is>
      </c>
      <c r="E355" t="n">
        <v>2426</v>
      </c>
      <c r="F355" t="n">
        <v>0.03</v>
      </c>
      <c r="G355" t="inlineStr">
        <is>
          <t>fenepm</t>
        </is>
      </c>
      <c r="H355" t="inlineStr">
        <is>
          <t>c2d2</t>
        </is>
      </c>
      <c r="I355" t="n">
        <v>0.008883</v>
      </c>
      <c r="J355" t="n">
        <v>1</v>
      </c>
      <c r="K355" t="inlineStr">
        <is>
          <t>clasen_boger_km</t>
        </is>
      </c>
      <c r="L355" t="inlineStr">
        <is>
          <t>julia/experiments/tnwpaper/outputs/exptl_comparison</t>
        </is>
      </c>
      <c r="M355" t="inlineStr">
        <is>
          <t>CANONICAL: Clasen-Boger A-D, c/c*_KM (KM=5), h*K=0.03</t>
        </is>
      </c>
    </row>
    <row r="356">
      <c r="A356" t="b">
        <v>1</v>
      </c>
      <c r="B356" t="n">
        <v>355</v>
      </c>
      <c r="C356" t="inlineStr">
        <is>
          <t>A1</t>
        </is>
      </c>
      <c r="D356" t="inlineStr">
        <is>
          <t>caber</t>
        </is>
      </c>
      <c r="E356" t="n">
        <v>2426</v>
      </c>
      <c r="F356" t="n">
        <v>0.03</v>
      </c>
      <c r="G356" t="inlineStr">
        <is>
          <t>fenepm</t>
        </is>
      </c>
      <c r="H356" t="inlineStr">
        <is>
          <t>constant</t>
        </is>
      </c>
      <c r="I356" t="n">
        <v>0.008883</v>
      </c>
      <c r="J356" t="inlineStr">
        <is>
          <t>[0.01, 0.03, 0.1, 0.3, 1, 3, 10, 30, 100]</t>
        </is>
      </c>
      <c r="K356" t="inlineStr">
        <is>
          <t>clasen_boger_km</t>
        </is>
      </c>
      <c r="L356" t="inlineStr">
        <is>
          <t>julia/experiments/tnwpaper/outputs/exptl_comparison</t>
        </is>
      </c>
      <c r="M356" t="inlineStr">
        <is>
          <t>CANONICAL: Clasen-Boger A-D, c/c*_KM (KM=5), h*K=0.03</t>
        </is>
      </c>
    </row>
    <row r="357">
      <c r="A357" t="b">
        <v>1</v>
      </c>
      <c r="B357" t="n">
        <v>356</v>
      </c>
      <c r="C357" t="inlineStr">
        <is>
          <t>A1</t>
        </is>
      </c>
      <c r="D357" t="inlineStr">
        <is>
          <t>caber</t>
        </is>
      </c>
      <c r="E357" t="n">
        <v>2426</v>
      </c>
      <c r="F357" t="n">
        <v>0.03</v>
      </c>
      <c r="G357" t="inlineStr">
        <is>
          <t>fenepm</t>
        </is>
      </c>
      <c r="H357" t="inlineStr">
        <is>
          <t>c2d2</t>
        </is>
      </c>
      <c r="I357" t="n">
        <v>0.008883</v>
      </c>
      <c r="J357" t="inlineStr">
        <is>
          <t>[0.01, 0.03, 0.1, 0.3, 1, 3, 10, 30, 100]</t>
        </is>
      </c>
      <c r="K357" t="inlineStr">
        <is>
          <t>clasen_boger_km</t>
        </is>
      </c>
      <c r="L357" t="inlineStr">
        <is>
          <t>julia/experiments/tnwpaper/outputs/exptl_comparison</t>
        </is>
      </c>
      <c r="M357" t="inlineStr">
        <is>
          <t>CANONICAL: Clasen-Boger A-D, c/c*_KM (KM=5), h*K=0.03</t>
        </is>
      </c>
    </row>
    <row r="358">
      <c r="A358" t="b">
        <v>1</v>
      </c>
      <c r="B358" t="n">
        <v>357</v>
      </c>
      <c r="C358" t="inlineStr">
        <is>
          <t>A2</t>
        </is>
      </c>
      <c r="D358" t="inlineStr">
        <is>
          <t>styext</t>
        </is>
      </c>
      <c r="E358" t="n">
        <v>2426</v>
      </c>
      <c r="F358" t="n">
        <v>0.03</v>
      </c>
      <c r="G358" t="inlineStr">
        <is>
          <t>fenepm</t>
        </is>
      </c>
      <c r="H358" t="inlineStr">
        <is>
          <t>constant</t>
        </is>
      </c>
      <c r="I358" t="n">
        <v>0.044414</v>
      </c>
      <c r="J358" t="n">
        <v>1</v>
      </c>
      <c r="K358" t="inlineStr">
        <is>
          <t>clasen_boger_km</t>
        </is>
      </c>
      <c r="L358" t="inlineStr">
        <is>
          <t>julia/experiments/tnwpaper/outputs/exptl_comparison</t>
        </is>
      </c>
      <c r="M358" t="inlineStr">
        <is>
          <t>CANONICAL: Clasen-Boger A-D, c/c*_KM (KM=5), h*K=0.03</t>
        </is>
      </c>
    </row>
    <row r="359">
      <c r="A359" t="b">
        <v>1</v>
      </c>
      <c r="B359" t="n">
        <v>358</v>
      </c>
      <c r="C359" t="inlineStr">
        <is>
          <t>A2</t>
        </is>
      </c>
      <c r="D359" t="inlineStr">
        <is>
          <t>styext</t>
        </is>
      </c>
      <c r="E359" t="n">
        <v>2426</v>
      </c>
      <c r="F359" t="n">
        <v>0.03</v>
      </c>
      <c r="G359" t="inlineStr">
        <is>
          <t>fenepm</t>
        </is>
      </c>
      <c r="H359" t="inlineStr">
        <is>
          <t>c2d2</t>
        </is>
      </c>
      <c r="I359" t="n">
        <v>0.044414</v>
      </c>
      <c r="J359" t="n">
        <v>1</v>
      </c>
      <c r="K359" t="inlineStr">
        <is>
          <t>clasen_boger_km</t>
        </is>
      </c>
      <c r="L359" t="inlineStr">
        <is>
          <t>julia/experiments/tnwpaper/outputs/exptl_comparison</t>
        </is>
      </c>
      <c r="M359" t="inlineStr">
        <is>
          <t>CANONICAL: Clasen-Boger A-D, c/c*_KM (KM=5), h*K=0.03</t>
        </is>
      </c>
    </row>
    <row r="360">
      <c r="A360" t="b">
        <v>1</v>
      </c>
      <c r="B360" t="n">
        <v>359</v>
      </c>
      <c r="C360" t="inlineStr">
        <is>
          <t>A2</t>
        </is>
      </c>
      <c r="D360" t="inlineStr">
        <is>
          <t>caber</t>
        </is>
      </c>
      <c r="E360" t="n">
        <v>2426</v>
      </c>
      <c r="F360" t="n">
        <v>0.03</v>
      </c>
      <c r="G360" t="inlineStr">
        <is>
          <t>fenepm</t>
        </is>
      </c>
      <c r="H360" t="inlineStr">
        <is>
          <t>constant</t>
        </is>
      </c>
      <c r="I360" t="n">
        <v>0.044414</v>
      </c>
      <c r="J360" t="inlineStr">
        <is>
          <t>[0.01, 0.03, 0.1, 0.3, 1, 3, 10, 30, 100]</t>
        </is>
      </c>
      <c r="K360" t="inlineStr">
        <is>
          <t>clasen_boger_km</t>
        </is>
      </c>
      <c r="L360" t="inlineStr">
        <is>
          <t>julia/experiments/tnwpaper/outputs/exptl_comparison</t>
        </is>
      </c>
      <c r="M360" t="inlineStr">
        <is>
          <t>CANONICAL: Clasen-Boger A-D, c/c*_KM (KM=5), h*K=0.03</t>
        </is>
      </c>
    </row>
    <row r="361">
      <c r="A361" t="b">
        <v>1</v>
      </c>
      <c r="B361" t="n">
        <v>360</v>
      </c>
      <c r="C361" t="inlineStr">
        <is>
          <t>A2</t>
        </is>
      </c>
      <c r="D361" t="inlineStr">
        <is>
          <t>caber</t>
        </is>
      </c>
      <c r="E361" t="n">
        <v>2426</v>
      </c>
      <c r="F361" t="n">
        <v>0.03</v>
      </c>
      <c r="G361" t="inlineStr">
        <is>
          <t>fenepm</t>
        </is>
      </c>
      <c r="H361" t="inlineStr">
        <is>
          <t>c2d2</t>
        </is>
      </c>
      <c r="I361" t="n">
        <v>0.044414</v>
      </c>
      <c r="J361" t="inlineStr">
        <is>
          <t>[0.01, 0.03, 0.1, 0.3, 1, 3, 10, 30, 100]</t>
        </is>
      </c>
      <c r="K361" t="inlineStr">
        <is>
          <t>clasen_boger_km</t>
        </is>
      </c>
      <c r="L361" t="inlineStr">
        <is>
          <t>julia/experiments/tnwpaper/outputs/exptl_comparison</t>
        </is>
      </c>
      <c r="M361" t="inlineStr">
        <is>
          <t>CANONICAL: Clasen-Boger A-D, c/c*_KM (KM=5), h*K=0.03</t>
        </is>
      </c>
    </row>
    <row r="362">
      <c r="A362" t="b">
        <v>1</v>
      </c>
      <c r="B362" t="n">
        <v>361</v>
      </c>
      <c r="C362" t="inlineStr">
        <is>
          <t>A3</t>
        </is>
      </c>
      <c r="D362" t="inlineStr">
        <is>
          <t>styext</t>
        </is>
      </c>
      <c r="E362" t="n">
        <v>2426</v>
      </c>
      <c r="F362" t="n">
        <v>0.03</v>
      </c>
      <c r="G362" t="inlineStr">
        <is>
          <t>fenepm</t>
        </is>
      </c>
      <c r="H362" t="inlineStr">
        <is>
          <t>constant</t>
        </is>
      </c>
      <c r="I362" t="n">
        <v>0.088828</v>
      </c>
      <c r="J362" t="n">
        <v>1</v>
      </c>
      <c r="K362" t="inlineStr">
        <is>
          <t>clasen_boger_km</t>
        </is>
      </c>
      <c r="L362" t="inlineStr">
        <is>
          <t>julia/experiments/tnwpaper/outputs/exptl_comparison</t>
        </is>
      </c>
      <c r="M362" t="inlineStr">
        <is>
          <t>CANONICAL: Clasen-Boger A-D, c/c*_KM (KM=5), h*K=0.03</t>
        </is>
      </c>
    </row>
    <row r="363">
      <c r="A363" t="b">
        <v>1</v>
      </c>
      <c r="B363" t="n">
        <v>362</v>
      </c>
      <c r="C363" t="inlineStr">
        <is>
          <t>A3</t>
        </is>
      </c>
      <c r="D363" t="inlineStr">
        <is>
          <t>styext</t>
        </is>
      </c>
      <c r="E363" t="n">
        <v>2426</v>
      </c>
      <c r="F363" t="n">
        <v>0.03</v>
      </c>
      <c r="G363" t="inlineStr">
        <is>
          <t>fenepm</t>
        </is>
      </c>
      <c r="H363" t="inlineStr">
        <is>
          <t>c2d2</t>
        </is>
      </c>
      <c r="I363" t="n">
        <v>0.088828</v>
      </c>
      <c r="J363" t="n">
        <v>1</v>
      </c>
      <c r="K363" t="inlineStr">
        <is>
          <t>clasen_boger_km</t>
        </is>
      </c>
      <c r="L363" t="inlineStr">
        <is>
          <t>julia/experiments/tnwpaper/outputs/exptl_comparison</t>
        </is>
      </c>
      <c r="M363" t="inlineStr">
        <is>
          <t>CANONICAL: Clasen-Boger A-D, c/c*_KM (KM=5), h*K=0.03</t>
        </is>
      </c>
    </row>
    <row r="364">
      <c r="A364" t="b">
        <v>1</v>
      </c>
      <c r="B364" t="n">
        <v>363</v>
      </c>
      <c r="C364" t="inlineStr">
        <is>
          <t>A3</t>
        </is>
      </c>
      <c r="D364" t="inlineStr">
        <is>
          <t>caber</t>
        </is>
      </c>
      <c r="E364" t="n">
        <v>2426</v>
      </c>
      <c r="F364" t="n">
        <v>0.03</v>
      </c>
      <c r="G364" t="inlineStr">
        <is>
          <t>fenepm</t>
        </is>
      </c>
      <c r="H364" t="inlineStr">
        <is>
          <t>constant</t>
        </is>
      </c>
      <c r="I364" t="n">
        <v>0.088828</v>
      </c>
      <c r="J364" t="inlineStr">
        <is>
          <t>[0.01, 0.03, 0.1, 0.3, 1, 3, 10, 30, 100]</t>
        </is>
      </c>
      <c r="K364" t="inlineStr">
        <is>
          <t>clasen_boger_km</t>
        </is>
      </c>
      <c r="L364" t="inlineStr">
        <is>
          <t>julia/experiments/tnwpaper/outputs/exptl_comparison</t>
        </is>
      </c>
      <c r="M364" t="inlineStr">
        <is>
          <t>CANONICAL: Clasen-Boger A-D, c/c*_KM (KM=5), h*K=0.03</t>
        </is>
      </c>
    </row>
    <row r="365">
      <c r="A365" t="b">
        <v>1</v>
      </c>
      <c r="B365" t="n">
        <v>364</v>
      </c>
      <c r="C365" t="inlineStr">
        <is>
          <t>A3</t>
        </is>
      </c>
      <c r="D365" t="inlineStr">
        <is>
          <t>caber</t>
        </is>
      </c>
      <c r="E365" t="n">
        <v>2426</v>
      </c>
      <c r="F365" t="n">
        <v>0.03</v>
      </c>
      <c r="G365" t="inlineStr">
        <is>
          <t>fenepm</t>
        </is>
      </c>
      <c r="H365" t="inlineStr">
        <is>
          <t>c2d2</t>
        </is>
      </c>
      <c r="I365" t="n">
        <v>0.088828</v>
      </c>
      <c r="J365" t="inlineStr">
        <is>
          <t>[0.01, 0.03, 0.1, 0.3, 1, 3, 10, 30, 100]</t>
        </is>
      </c>
      <c r="K365" t="inlineStr">
        <is>
          <t>clasen_boger_km</t>
        </is>
      </c>
      <c r="L365" t="inlineStr">
        <is>
          <t>julia/experiments/tnwpaper/outputs/exptl_comparison</t>
        </is>
      </c>
      <c r="M365" t="inlineStr">
        <is>
          <t>CANONICAL: Clasen-Boger A-D, c/c*_KM (KM=5), h*K=0.03</t>
        </is>
      </c>
    </row>
    <row r="366">
      <c r="A366" t="b">
        <v>1</v>
      </c>
      <c r="B366" t="n">
        <v>365</v>
      </c>
      <c r="C366" t="inlineStr">
        <is>
          <t>A4</t>
        </is>
      </c>
      <c r="D366" t="inlineStr">
        <is>
          <t>styext</t>
        </is>
      </c>
      <c r="E366" t="n">
        <v>2426</v>
      </c>
      <c r="F366" t="n">
        <v>0.03</v>
      </c>
      <c r="G366" t="inlineStr">
        <is>
          <t>fenepm</t>
        </is>
      </c>
      <c r="H366" t="inlineStr">
        <is>
          <t>constant</t>
        </is>
      </c>
      <c r="I366" t="n">
        <v>0.222071</v>
      </c>
      <c r="J366" t="n">
        <v>1</v>
      </c>
      <c r="K366" t="inlineStr">
        <is>
          <t>clasen_boger_km</t>
        </is>
      </c>
      <c r="L366" t="inlineStr">
        <is>
          <t>julia/experiments/tnwpaper/outputs/exptl_comparison</t>
        </is>
      </c>
      <c r="M366" t="inlineStr">
        <is>
          <t>CANONICAL: Clasen-Boger A-D, c/c*_KM (KM=5), h*K=0.03</t>
        </is>
      </c>
    </row>
    <row r="367">
      <c r="A367" t="b">
        <v>1</v>
      </c>
      <c r="B367" t="n">
        <v>366</v>
      </c>
      <c r="C367" t="inlineStr">
        <is>
          <t>A4</t>
        </is>
      </c>
      <c r="D367" t="inlineStr">
        <is>
          <t>styext</t>
        </is>
      </c>
      <c r="E367" t="n">
        <v>2426</v>
      </c>
      <c r="F367" t="n">
        <v>0.03</v>
      </c>
      <c r="G367" t="inlineStr">
        <is>
          <t>fenepm</t>
        </is>
      </c>
      <c r="H367" t="inlineStr">
        <is>
          <t>c2d2</t>
        </is>
      </c>
      <c r="I367" t="n">
        <v>0.222071</v>
      </c>
      <c r="J367" t="n">
        <v>1</v>
      </c>
      <c r="K367" t="inlineStr">
        <is>
          <t>clasen_boger_km</t>
        </is>
      </c>
      <c r="L367" t="inlineStr">
        <is>
          <t>julia/experiments/tnwpaper/outputs/exptl_comparison</t>
        </is>
      </c>
      <c r="M367" t="inlineStr">
        <is>
          <t>CANONICAL: Clasen-Boger A-D, c/c*_KM (KM=5), h*K=0.03</t>
        </is>
      </c>
    </row>
    <row r="368">
      <c r="A368" t="b">
        <v>1</v>
      </c>
      <c r="B368" t="n">
        <v>367</v>
      </c>
      <c r="C368" t="inlineStr">
        <is>
          <t>A4</t>
        </is>
      </c>
      <c r="D368" t="inlineStr">
        <is>
          <t>caber</t>
        </is>
      </c>
      <c r="E368" t="n">
        <v>2426</v>
      </c>
      <c r="F368" t="n">
        <v>0.03</v>
      </c>
      <c r="G368" t="inlineStr">
        <is>
          <t>fenepm</t>
        </is>
      </c>
      <c r="H368" t="inlineStr">
        <is>
          <t>constant</t>
        </is>
      </c>
      <c r="I368" t="n">
        <v>0.222071</v>
      </c>
      <c r="J368" t="inlineStr">
        <is>
          <t>[0.01, 0.03, 0.1, 0.3, 1, 3, 10, 30, 100]</t>
        </is>
      </c>
      <c r="K368" t="inlineStr">
        <is>
          <t>clasen_boger_km</t>
        </is>
      </c>
      <c r="L368" t="inlineStr">
        <is>
          <t>julia/experiments/tnwpaper/outputs/exptl_comparison</t>
        </is>
      </c>
      <c r="M368" t="inlineStr">
        <is>
          <t>CANONICAL: Clasen-Boger A-D, c/c*_KM (KM=5), h*K=0.03</t>
        </is>
      </c>
    </row>
    <row r="369">
      <c r="A369" t="b">
        <v>1</v>
      </c>
      <c r="B369" t="n">
        <v>368</v>
      </c>
      <c r="C369" t="inlineStr">
        <is>
          <t>A4</t>
        </is>
      </c>
      <c r="D369" t="inlineStr">
        <is>
          <t>caber</t>
        </is>
      </c>
      <c r="E369" t="n">
        <v>2426</v>
      </c>
      <c r="F369" t="n">
        <v>0.03</v>
      </c>
      <c r="G369" t="inlineStr">
        <is>
          <t>fenepm</t>
        </is>
      </c>
      <c r="H369" t="inlineStr">
        <is>
          <t>c2d2</t>
        </is>
      </c>
      <c r="I369" t="n">
        <v>0.222071</v>
      </c>
      <c r="J369" t="inlineStr">
        <is>
          <t>[0.01, 0.03, 0.1, 0.3, 1, 3, 10, 30, 100]</t>
        </is>
      </c>
      <c r="K369" t="inlineStr">
        <is>
          <t>clasen_boger_km</t>
        </is>
      </c>
      <c r="L369" t="inlineStr">
        <is>
          <t>julia/experiments/tnwpaper/outputs/exptl_comparison</t>
        </is>
      </c>
      <c r="M369" t="inlineStr">
        <is>
          <t>CANONICAL: Clasen-Boger A-D, c/c*_KM (KM=5), h*K=0.03</t>
        </is>
      </c>
    </row>
    <row r="370">
      <c r="A370" t="b">
        <v>1</v>
      </c>
      <c r="B370" t="n">
        <v>369</v>
      </c>
      <c r="C370" t="inlineStr">
        <is>
          <t>A5</t>
        </is>
      </c>
      <c r="D370" t="inlineStr">
        <is>
          <t>styext</t>
        </is>
      </c>
      <c r="E370" t="n">
        <v>2426</v>
      </c>
      <c r="F370" t="n">
        <v>0.03</v>
      </c>
      <c r="G370" t="inlineStr">
        <is>
          <t>fenepm</t>
        </is>
      </c>
      <c r="H370" t="inlineStr">
        <is>
          <t>constant</t>
        </is>
      </c>
      <c r="I370" t="n">
        <v>0.444141</v>
      </c>
      <c r="J370" t="n">
        <v>1</v>
      </c>
      <c r="K370" t="inlineStr">
        <is>
          <t>clasen_boger_km</t>
        </is>
      </c>
      <c r="L370" t="inlineStr">
        <is>
          <t>julia/experiments/tnwpaper/outputs/exptl_comparison</t>
        </is>
      </c>
      <c r="M370" t="inlineStr">
        <is>
          <t>CANONICAL: Clasen-Boger A-D, c/c*_KM (KM=5), h*K=0.03</t>
        </is>
      </c>
    </row>
    <row r="371">
      <c r="A371" t="b">
        <v>1</v>
      </c>
      <c r="B371" t="n">
        <v>370</v>
      </c>
      <c r="C371" t="inlineStr">
        <is>
          <t>A5</t>
        </is>
      </c>
      <c r="D371" t="inlineStr">
        <is>
          <t>styext</t>
        </is>
      </c>
      <c r="E371" t="n">
        <v>2426</v>
      </c>
      <c r="F371" t="n">
        <v>0.03</v>
      </c>
      <c r="G371" t="inlineStr">
        <is>
          <t>fenepm</t>
        </is>
      </c>
      <c r="H371" t="inlineStr">
        <is>
          <t>c2d2</t>
        </is>
      </c>
      <c r="I371" t="n">
        <v>0.444141</v>
      </c>
      <c r="J371" t="n">
        <v>1</v>
      </c>
      <c r="K371" t="inlineStr">
        <is>
          <t>clasen_boger_km</t>
        </is>
      </c>
      <c r="L371" t="inlineStr">
        <is>
          <t>julia/experiments/tnwpaper/outputs/exptl_comparison</t>
        </is>
      </c>
      <c r="M371" t="inlineStr">
        <is>
          <t>CANONICAL: Clasen-Boger A-D, c/c*_KM (KM=5), h*K=0.03</t>
        </is>
      </c>
    </row>
    <row r="372">
      <c r="A372" t="b">
        <v>1</v>
      </c>
      <c r="B372" t="n">
        <v>371</v>
      </c>
      <c r="C372" t="inlineStr">
        <is>
          <t>A5</t>
        </is>
      </c>
      <c r="D372" t="inlineStr">
        <is>
          <t>caber</t>
        </is>
      </c>
      <c r="E372" t="n">
        <v>2426</v>
      </c>
      <c r="F372" t="n">
        <v>0.03</v>
      </c>
      <c r="G372" t="inlineStr">
        <is>
          <t>fenepm</t>
        </is>
      </c>
      <c r="H372" t="inlineStr">
        <is>
          <t>constant</t>
        </is>
      </c>
      <c r="I372" t="n">
        <v>0.444141</v>
      </c>
      <c r="J372" t="inlineStr">
        <is>
          <t>[0.01, 0.03, 0.1, 0.3, 1, 3, 10, 30, 100]</t>
        </is>
      </c>
      <c r="K372" t="inlineStr">
        <is>
          <t>clasen_boger_km</t>
        </is>
      </c>
      <c r="L372" t="inlineStr">
        <is>
          <t>julia/experiments/tnwpaper/outputs/exptl_comparison</t>
        </is>
      </c>
      <c r="M372" t="inlineStr">
        <is>
          <t>CANONICAL: Clasen-Boger A-D, c/c*_KM (KM=5), h*K=0.03</t>
        </is>
      </c>
    </row>
    <row r="373">
      <c r="A373" t="b">
        <v>1</v>
      </c>
      <c r="B373" t="n">
        <v>372</v>
      </c>
      <c r="C373" t="inlineStr">
        <is>
          <t>A5</t>
        </is>
      </c>
      <c r="D373" t="inlineStr">
        <is>
          <t>caber</t>
        </is>
      </c>
      <c r="E373" t="n">
        <v>2426</v>
      </c>
      <c r="F373" t="n">
        <v>0.03</v>
      </c>
      <c r="G373" t="inlineStr">
        <is>
          <t>fenepm</t>
        </is>
      </c>
      <c r="H373" t="inlineStr">
        <is>
          <t>c2d2</t>
        </is>
      </c>
      <c r="I373" t="n">
        <v>0.444141</v>
      </c>
      <c r="J373" t="inlineStr">
        <is>
          <t>[0.01, 0.03, 0.1, 0.3, 1, 3, 10, 30, 100]</t>
        </is>
      </c>
      <c r="K373" t="inlineStr">
        <is>
          <t>clasen_boger_km</t>
        </is>
      </c>
      <c r="L373" t="inlineStr">
        <is>
          <t>julia/experiments/tnwpaper/outputs/exptl_comparison</t>
        </is>
      </c>
      <c r="M373" t="inlineStr">
        <is>
          <t>CANONICAL: Clasen-Boger A-D, c/c*_KM (KM=5), h*K=0.03</t>
        </is>
      </c>
    </row>
    <row r="374">
      <c r="A374" t="b">
        <v>1</v>
      </c>
      <c r="B374" t="n">
        <v>373</v>
      </c>
      <c r="C374" t="inlineStr">
        <is>
          <t>B1</t>
        </is>
      </c>
      <c r="D374" t="inlineStr">
        <is>
          <t>styext</t>
        </is>
      </c>
      <c r="E374" t="n">
        <v>3774</v>
      </c>
      <c r="F374" t="n">
        <v>0.03</v>
      </c>
      <c r="G374" t="inlineStr">
        <is>
          <t>fenepm</t>
        </is>
      </c>
      <c r="H374" t="inlineStr">
        <is>
          <t>constant</t>
        </is>
      </c>
      <c r="I374" t="n">
        <v>0.005044</v>
      </c>
      <c r="J374" t="n">
        <v>1</v>
      </c>
      <c r="K374" t="inlineStr">
        <is>
          <t>clasen_boger_km</t>
        </is>
      </c>
      <c r="L374" t="inlineStr">
        <is>
          <t>julia/experiments/tnwpaper/outputs/exptl_comparison</t>
        </is>
      </c>
      <c r="M374" t="inlineStr">
        <is>
          <t>CANONICAL: Clasen-Boger A-D, c/c*_KM (KM=5), h*K=0.03</t>
        </is>
      </c>
    </row>
    <row r="375">
      <c r="A375" t="b">
        <v>1</v>
      </c>
      <c r="B375" t="n">
        <v>374</v>
      </c>
      <c r="C375" t="inlineStr">
        <is>
          <t>B1</t>
        </is>
      </c>
      <c r="D375" t="inlineStr">
        <is>
          <t>styext</t>
        </is>
      </c>
      <c r="E375" t="n">
        <v>3774</v>
      </c>
      <c r="F375" t="n">
        <v>0.03</v>
      </c>
      <c r="G375" t="inlineStr">
        <is>
          <t>fenepm</t>
        </is>
      </c>
      <c r="H375" t="inlineStr">
        <is>
          <t>c2d2</t>
        </is>
      </c>
      <c r="I375" t="n">
        <v>0.005044</v>
      </c>
      <c r="J375" t="n">
        <v>1</v>
      </c>
      <c r="K375" t="inlineStr">
        <is>
          <t>clasen_boger_km</t>
        </is>
      </c>
      <c r="L375" t="inlineStr">
        <is>
          <t>julia/experiments/tnwpaper/outputs/exptl_comparison</t>
        </is>
      </c>
      <c r="M375" t="inlineStr">
        <is>
          <t>CANONICAL: Clasen-Boger A-D, c/c*_KM (KM=5), h*K=0.03</t>
        </is>
      </c>
    </row>
    <row r="376">
      <c r="A376" t="b">
        <v>1</v>
      </c>
      <c r="B376" t="n">
        <v>375</v>
      </c>
      <c r="C376" t="inlineStr">
        <is>
          <t>B1</t>
        </is>
      </c>
      <c r="D376" t="inlineStr">
        <is>
          <t>caber</t>
        </is>
      </c>
      <c r="E376" t="n">
        <v>3774</v>
      </c>
      <c r="F376" t="n">
        <v>0.03</v>
      </c>
      <c r="G376" t="inlineStr">
        <is>
          <t>fenepm</t>
        </is>
      </c>
      <c r="H376" t="inlineStr">
        <is>
          <t>constant</t>
        </is>
      </c>
      <c r="I376" t="n">
        <v>0.005044</v>
      </c>
      <c r="J376" t="inlineStr">
        <is>
          <t>[0.01, 0.03, 0.1, 0.3, 1, 3, 10, 30, 100]</t>
        </is>
      </c>
      <c r="K376" t="inlineStr">
        <is>
          <t>clasen_boger_km</t>
        </is>
      </c>
      <c r="L376" t="inlineStr">
        <is>
          <t>julia/experiments/tnwpaper/outputs/exptl_comparison</t>
        </is>
      </c>
      <c r="M376" t="inlineStr">
        <is>
          <t>CANONICAL: Clasen-Boger A-D, c/c*_KM (KM=5), h*K=0.03</t>
        </is>
      </c>
    </row>
    <row r="377">
      <c r="A377" t="b">
        <v>1</v>
      </c>
      <c r="B377" t="n">
        <v>376</v>
      </c>
      <c r="C377" t="inlineStr">
        <is>
          <t>B1</t>
        </is>
      </c>
      <c r="D377" t="inlineStr">
        <is>
          <t>caber</t>
        </is>
      </c>
      <c r="E377" t="n">
        <v>3774</v>
      </c>
      <c r="F377" t="n">
        <v>0.03</v>
      </c>
      <c r="G377" t="inlineStr">
        <is>
          <t>fenepm</t>
        </is>
      </c>
      <c r="H377" t="inlineStr">
        <is>
          <t>c2d2</t>
        </is>
      </c>
      <c r="I377" t="n">
        <v>0.005044</v>
      </c>
      <c r="J377" t="inlineStr">
        <is>
          <t>[0.01, 0.03, 0.1, 0.3, 1, 3, 10, 30, 100]</t>
        </is>
      </c>
      <c r="K377" t="inlineStr">
        <is>
          <t>clasen_boger_km</t>
        </is>
      </c>
      <c r="L377" t="inlineStr">
        <is>
          <t>julia/experiments/tnwpaper/outputs/exptl_comparison</t>
        </is>
      </c>
      <c r="M377" t="inlineStr">
        <is>
          <t>CANONICAL: Clasen-Boger A-D, c/c*_KM (KM=5), h*K=0.03</t>
        </is>
      </c>
    </row>
    <row r="378">
      <c r="A378" t="b">
        <v>1</v>
      </c>
      <c r="B378" t="n">
        <v>377</v>
      </c>
      <c r="C378" t="inlineStr">
        <is>
          <t>B2</t>
        </is>
      </c>
      <c r="D378" t="inlineStr">
        <is>
          <t>styext</t>
        </is>
      </c>
      <c r="E378" t="n">
        <v>3774</v>
      </c>
      <c r="F378" t="n">
        <v>0.03</v>
      </c>
      <c r="G378" t="inlineStr">
        <is>
          <t>fenepm</t>
        </is>
      </c>
      <c r="H378" t="inlineStr">
        <is>
          <t>constant</t>
        </is>
      </c>
      <c r="I378" t="n">
        <v>0.008597</v>
      </c>
      <c r="J378" t="n">
        <v>1</v>
      </c>
      <c r="K378" t="inlineStr">
        <is>
          <t>clasen_boger_km</t>
        </is>
      </c>
      <c r="L378" t="inlineStr">
        <is>
          <t>julia/experiments/tnwpaper/outputs/exptl_comparison</t>
        </is>
      </c>
      <c r="M378" t="inlineStr">
        <is>
          <t>CANONICAL: Clasen-Boger A-D, c/c*_KM (KM=5), h*K=0.03</t>
        </is>
      </c>
    </row>
    <row r="379">
      <c r="A379" t="b">
        <v>1</v>
      </c>
      <c r="B379" t="n">
        <v>378</v>
      </c>
      <c r="C379" t="inlineStr">
        <is>
          <t>B2</t>
        </is>
      </c>
      <c r="D379" t="inlineStr">
        <is>
          <t>styext</t>
        </is>
      </c>
      <c r="E379" t="n">
        <v>3774</v>
      </c>
      <c r="F379" t="n">
        <v>0.03</v>
      </c>
      <c r="G379" t="inlineStr">
        <is>
          <t>fenepm</t>
        </is>
      </c>
      <c r="H379" t="inlineStr">
        <is>
          <t>c2d2</t>
        </is>
      </c>
      <c r="I379" t="n">
        <v>0.008597</v>
      </c>
      <c r="J379" t="n">
        <v>1</v>
      </c>
      <c r="K379" t="inlineStr">
        <is>
          <t>clasen_boger_km</t>
        </is>
      </c>
      <c r="L379" t="inlineStr">
        <is>
          <t>julia/experiments/tnwpaper/outputs/exptl_comparison</t>
        </is>
      </c>
      <c r="M379" t="inlineStr">
        <is>
          <t>CANONICAL: Clasen-Boger A-D, c/c*_KM (KM=5), h*K=0.03</t>
        </is>
      </c>
    </row>
    <row r="380">
      <c r="A380" t="b">
        <v>1</v>
      </c>
      <c r="B380" t="n">
        <v>379</v>
      </c>
      <c r="C380" t="inlineStr">
        <is>
          <t>B2</t>
        </is>
      </c>
      <c r="D380" t="inlineStr">
        <is>
          <t>caber</t>
        </is>
      </c>
      <c r="E380" t="n">
        <v>3774</v>
      </c>
      <c r="F380" t="n">
        <v>0.03</v>
      </c>
      <c r="G380" t="inlineStr">
        <is>
          <t>fenepm</t>
        </is>
      </c>
      <c r="H380" t="inlineStr">
        <is>
          <t>constant</t>
        </is>
      </c>
      <c r="I380" t="n">
        <v>0.008597</v>
      </c>
      <c r="J380" t="inlineStr">
        <is>
          <t>[0.01, 0.03, 0.1, 0.3, 1, 3, 10, 30, 100]</t>
        </is>
      </c>
      <c r="K380" t="inlineStr">
        <is>
          <t>clasen_boger_km</t>
        </is>
      </c>
      <c r="L380" t="inlineStr">
        <is>
          <t>julia/experiments/tnwpaper/outputs/exptl_comparison</t>
        </is>
      </c>
      <c r="M380" t="inlineStr">
        <is>
          <t>CANONICAL: Clasen-Boger A-D, c/c*_KM (KM=5), h*K=0.03</t>
        </is>
      </c>
    </row>
    <row r="381">
      <c r="A381" t="b">
        <v>1</v>
      </c>
      <c r="B381" t="n">
        <v>380</v>
      </c>
      <c r="C381" t="inlineStr">
        <is>
          <t>B2</t>
        </is>
      </c>
      <c r="D381" t="inlineStr">
        <is>
          <t>caber</t>
        </is>
      </c>
      <c r="E381" t="n">
        <v>3774</v>
      </c>
      <c r="F381" t="n">
        <v>0.03</v>
      </c>
      <c r="G381" t="inlineStr">
        <is>
          <t>fenepm</t>
        </is>
      </c>
      <c r="H381" t="inlineStr">
        <is>
          <t>c2d2</t>
        </is>
      </c>
      <c r="I381" t="n">
        <v>0.008597</v>
      </c>
      <c r="J381" t="inlineStr">
        <is>
          <t>[0.01, 0.03, 0.1, 0.3, 1, 3, 10, 30, 100]</t>
        </is>
      </c>
      <c r="K381" t="inlineStr">
        <is>
          <t>clasen_boger_km</t>
        </is>
      </c>
      <c r="L381" t="inlineStr">
        <is>
          <t>julia/experiments/tnwpaper/outputs/exptl_comparison</t>
        </is>
      </c>
      <c r="M381" t="inlineStr">
        <is>
          <t>CANONICAL: Clasen-Boger A-D, c/c*_KM (KM=5), h*K=0.03</t>
        </is>
      </c>
    </row>
    <row r="382">
      <c r="A382" t="b">
        <v>1</v>
      </c>
      <c r="B382" t="n">
        <v>381</v>
      </c>
      <c r="C382" t="inlineStr">
        <is>
          <t>B3</t>
        </is>
      </c>
      <c r="D382" t="inlineStr">
        <is>
          <t>styext</t>
        </is>
      </c>
      <c r="E382" t="n">
        <v>3774</v>
      </c>
      <c r="F382" t="n">
        <v>0.03</v>
      </c>
      <c r="G382" t="inlineStr">
        <is>
          <t>fenepm</t>
        </is>
      </c>
      <c r="H382" t="inlineStr">
        <is>
          <t>constant</t>
        </is>
      </c>
      <c r="I382" t="n">
        <v>0.016048</v>
      </c>
      <c r="J382" t="n">
        <v>1</v>
      </c>
      <c r="K382" t="inlineStr">
        <is>
          <t>clasen_boger_km</t>
        </is>
      </c>
      <c r="L382" t="inlineStr">
        <is>
          <t>julia/experiments/tnwpaper/outputs/exptl_comparison</t>
        </is>
      </c>
      <c r="M382" t="inlineStr">
        <is>
          <t>CANONICAL: Clasen-Boger A-D, c/c*_KM (KM=5), h*K=0.03</t>
        </is>
      </c>
    </row>
    <row r="383">
      <c r="A383" t="b">
        <v>1</v>
      </c>
      <c r="B383" t="n">
        <v>382</v>
      </c>
      <c r="C383" t="inlineStr">
        <is>
          <t>B3</t>
        </is>
      </c>
      <c r="D383" t="inlineStr">
        <is>
          <t>styext</t>
        </is>
      </c>
      <c r="E383" t="n">
        <v>3774</v>
      </c>
      <c r="F383" t="n">
        <v>0.03</v>
      </c>
      <c r="G383" t="inlineStr">
        <is>
          <t>fenepm</t>
        </is>
      </c>
      <c r="H383" t="inlineStr">
        <is>
          <t>c2d2</t>
        </is>
      </c>
      <c r="I383" t="n">
        <v>0.016048</v>
      </c>
      <c r="J383" t="n">
        <v>1</v>
      </c>
      <c r="K383" t="inlineStr">
        <is>
          <t>clasen_boger_km</t>
        </is>
      </c>
      <c r="L383" t="inlineStr">
        <is>
          <t>julia/experiments/tnwpaper/outputs/exptl_comparison</t>
        </is>
      </c>
      <c r="M383" t="inlineStr">
        <is>
          <t>CANONICAL: Clasen-Boger A-D, c/c*_KM (KM=5), h*K=0.03</t>
        </is>
      </c>
    </row>
    <row r="384">
      <c r="A384" t="b">
        <v>1</v>
      </c>
      <c r="B384" t="n">
        <v>383</v>
      </c>
      <c r="C384" t="inlineStr">
        <is>
          <t>B3</t>
        </is>
      </c>
      <c r="D384" t="inlineStr">
        <is>
          <t>caber</t>
        </is>
      </c>
      <c r="E384" t="n">
        <v>3774</v>
      </c>
      <c r="F384" t="n">
        <v>0.03</v>
      </c>
      <c r="G384" t="inlineStr">
        <is>
          <t>fenepm</t>
        </is>
      </c>
      <c r="H384" t="inlineStr">
        <is>
          <t>constant</t>
        </is>
      </c>
      <c r="I384" t="n">
        <v>0.016048</v>
      </c>
      <c r="J384" t="inlineStr">
        <is>
          <t>[0.01, 0.03, 0.1, 0.3, 1, 3, 10, 30, 100]</t>
        </is>
      </c>
      <c r="K384" t="inlineStr">
        <is>
          <t>clasen_boger_km</t>
        </is>
      </c>
      <c r="L384" t="inlineStr">
        <is>
          <t>julia/experiments/tnwpaper/outputs/exptl_comparison</t>
        </is>
      </c>
      <c r="M384" t="inlineStr">
        <is>
          <t>CANONICAL: Clasen-Boger A-D, c/c*_KM (KM=5), h*K=0.03</t>
        </is>
      </c>
    </row>
    <row r="385">
      <c r="A385" t="b">
        <v>1</v>
      </c>
      <c r="B385" t="n">
        <v>384</v>
      </c>
      <c r="C385" t="inlineStr">
        <is>
          <t>B3</t>
        </is>
      </c>
      <c r="D385" t="inlineStr">
        <is>
          <t>caber</t>
        </is>
      </c>
      <c r="E385" t="n">
        <v>3774</v>
      </c>
      <c r="F385" t="n">
        <v>0.03</v>
      </c>
      <c r="G385" t="inlineStr">
        <is>
          <t>fenepm</t>
        </is>
      </c>
      <c r="H385" t="inlineStr">
        <is>
          <t>c2d2</t>
        </is>
      </c>
      <c r="I385" t="n">
        <v>0.016048</v>
      </c>
      <c r="J385" t="inlineStr">
        <is>
          <t>[0.01, 0.03, 0.1, 0.3, 1, 3, 10, 30, 100]</t>
        </is>
      </c>
      <c r="K385" t="inlineStr">
        <is>
          <t>clasen_boger_km</t>
        </is>
      </c>
      <c r="L385" t="inlineStr">
        <is>
          <t>julia/experiments/tnwpaper/outputs/exptl_comparison</t>
        </is>
      </c>
      <c r="M385" t="inlineStr">
        <is>
          <t>CANONICAL: Clasen-Boger A-D, c/c*_KM (KM=5), h*K=0.03</t>
        </is>
      </c>
    </row>
    <row r="386">
      <c r="A386" t="b">
        <v>1</v>
      </c>
      <c r="B386" t="n">
        <v>385</v>
      </c>
      <c r="C386" t="inlineStr">
        <is>
          <t>B4</t>
        </is>
      </c>
      <c r="D386" t="inlineStr">
        <is>
          <t>styext</t>
        </is>
      </c>
      <c r="E386" t="n">
        <v>3774</v>
      </c>
      <c r="F386" t="n">
        <v>0.03</v>
      </c>
      <c r="G386" t="inlineStr">
        <is>
          <t>fenepm</t>
        </is>
      </c>
      <c r="H386" t="inlineStr">
        <is>
          <t>constant</t>
        </is>
      </c>
      <c r="I386" t="n">
        <v>0.028657</v>
      </c>
      <c r="J386" t="n">
        <v>1</v>
      </c>
      <c r="K386" t="inlineStr">
        <is>
          <t>clasen_boger_km</t>
        </is>
      </c>
      <c r="L386" t="inlineStr">
        <is>
          <t>julia/experiments/tnwpaper/outputs/exptl_comparison</t>
        </is>
      </c>
      <c r="M386" t="inlineStr">
        <is>
          <t>CANONICAL: Clasen-Boger A-D, c/c*_KM (KM=5), h*K=0.03</t>
        </is>
      </c>
    </row>
    <row r="387">
      <c r="A387" t="b">
        <v>1</v>
      </c>
      <c r="B387" t="n">
        <v>386</v>
      </c>
      <c r="C387" t="inlineStr">
        <is>
          <t>B4</t>
        </is>
      </c>
      <c r="D387" t="inlineStr">
        <is>
          <t>styext</t>
        </is>
      </c>
      <c r="E387" t="n">
        <v>3774</v>
      </c>
      <c r="F387" t="n">
        <v>0.03</v>
      </c>
      <c r="G387" t="inlineStr">
        <is>
          <t>fenepm</t>
        </is>
      </c>
      <c r="H387" t="inlineStr">
        <is>
          <t>c2d2</t>
        </is>
      </c>
      <c r="I387" t="n">
        <v>0.028657</v>
      </c>
      <c r="J387" t="n">
        <v>1</v>
      </c>
      <c r="K387" t="inlineStr">
        <is>
          <t>clasen_boger_km</t>
        </is>
      </c>
      <c r="L387" t="inlineStr">
        <is>
          <t>julia/experiments/tnwpaper/outputs/exptl_comparison</t>
        </is>
      </c>
      <c r="M387" t="inlineStr">
        <is>
          <t>CANONICAL: Clasen-Boger A-D, c/c*_KM (KM=5), h*K=0.03</t>
        </is>
      </c>
    </row>
    <row r="388">
      <c r="A388" t="b">
        <v>1</v>
      </c>
      <c r="B388" t="n">
        <v>387</v>
      </c>
      <c r="C388" t="inlineStr">
        <is>
          <t>B4</t>
        </is>
      </c>
      <c r="D388" t="inlineStr">
        <is>
          <t>caber</t>
        </is>
      </c>
      <c r="E388" t="n">
        <v>3774</v>
      </c>
      <c r="F388" t="n">
        <v>0.03</v>
      </c>
      <c r="G388" t="inlineStr">
        <is>
          <t>fenepm</t>
        </is>
      </c>
      <c r="H388" t="inlineStr">
        <is>
          <t>constant</t>
        </is>
      </c>
      <c r="I388" t="n">
        <v>0.028657</v>
      </c>
      <c r="J388" t="inlineStr">
        <is>
          <t>[0.01, 0.03, 0.1, 0.3, 1, 3, 10, 30, 100]</t>
        </is>
      </c>
      <c r="K388" t="inlineStr">
        <is>
          <t>clasen_boger_km</t>
        </is>
      </c>
      <c r="L388" t="inlineStr">
        <is>
          <t>julia/experiments/tnwpaper/outputs/exptl_comparison</t>
        </is>
      </c>
      <c r="M388" t="inlineStr">
        <is>
          <t>CANONICAL: Clasen-Boger A-D, c/c*_KM (KM=5), h*K=0.03</t>
        </is>
      </c>
    </row>
    <row r="389">
      <c r="A389" t="b">
        <v>1</v>
      </c>
      <c r="B389" t="n">
        <v>388</v>
      </c>
      <c r="C389" t="inlineStr">
        <is>
          <t>B4</t>
        </is>
      </c>
      <c r="D389" t="inlineStr">
        <is>
          <t>caber</t>
        </is>
      </c>
      <c r="E389" t="n">
        <v>3774</v>
      </c>
      <c r="F389" t="n">
        <v>0.03</v>
      </c>
      <c r="G389" t="inlineStr">
        <is>
          <t>fenepm</t>
        </is>
      </c>
      <c r="H389" t="inlineStr">
        <is>
          <t>c2d2</t>
        </is>
      </c>
      <c r="I389" t="n">
        <v>0.028657</v>
      </c>
      <c r="J389" t="inlineStr">
        <is>
          <t>[0.01, 0.03, 0.1, 0.3, 1, 3, 10, 30, 100]</t>
        </is>
      </c>
      <c r="K389" t="inlineStr">
        <is>
          <t>clasen_boger_km</t>
        </is>
      </c>
      <c r="L389" t="inlineStr">
        <is>
          <t>julia/experiments/tnwpaper/outputs/exptl_comparison</t>
        </is>
      </c>
      <c r="M389" t="inlineStr">
        <is>
          <t>CANONICAL: Clasen-Boger A-D, c/c*_KM (KM=5), h*K=0.03</t>
        </is>
      </c>
    </row>
    <row r="390">
      <c r="A390" t="b">
        <v>1</v>
      </c>
      <c r="B390" t="n">
        <v>389</v>
      </c>
      <c r="C390" t="inlineStr">
        <is>
          <t>B5</t>
        </is>
      </c>
      <c r="D390" t="inlineStr">
        <is>
          <t>styext</t>
        </is>
      </c>
      <c r="E390" t="n">
        <v>3774</v>
      </c>
      <c r="F390" t="n">
        <v>0.03</v>
      </c>
      <c r="G390" t="inlineStr">
        <is>
          <t>fenepm</t>
        </is>
      </c>
      <c r="H390" t="inlineStr">
        <is>
          <t>constant</t>
        </is>
      </c>
      <c r="I390" t="n">
        <v>0.050436</v>
      </c>
      <c r="J390" t="n">
        <v>1</v>
      </c>
      <c r="K390" t="inlineStr">
        <is>
          <t>clasen_boger_km</t>
        </is>
      </c>
      <c r="L390" t="inlineStr">
        <is>
          <t>julia/experiments/tnwpaper/outputs/exptl_comparison</t>
        </is>
      </c>
      <c r="M390" t="inlineStr">
        <is>
          <t>CANONICAL: Clasen-Boger A-D, c/c*_KM (KM=5), h*K=0.03</t>
        </is>
      </c>
    </row>
    <row r="391">
      <c r="A391" t="b">
        <v>1</v>
      </c>
      <c r="B391" t="n">
        <v>390</v>
      </c>
      <c r="C391" t="inlineStr">
        <is>
          <t>B5</t>
        </is>
      </c>
      <c r="D391" t="inlineStr">
        <is>
          <t>styext</t>
        </is>
      </c>
      <c r="E391" t="n">
        <v>3774</v>
      </c>
      <c r="F391" t="n">
        <v>0.03</v>
      </c>
      <c r="G391" t="inlineStr">
        <is>
          <t>fenepm</t>
        </is>
      </c>
      <c r="H391" t="inlineStr">
        <is>
          <t>c2d2</t>
        </is>
      </c>
      <c r="I391" t="n">
        <v>0.050436</v>
      </c>
      <c r="J391" t="n">
        <v>1</v>
      </c>
      <c r="K391" t="inlineStr">
        <is>
          <t>clasen_boger_km</t>
        </is>
      </c>
      <c r="L391" t="inlineStr">
        <is>
          <t>julia/experiments/tnwpaper/outputs/exptl_comparison</t>
        </is>
      </c>
      <c r="M391" t="inlineStr">
        <is>
          <t>CANONICAL: Clasen-Boger A-D, c/c*_KM (KM=5), h*K=0.03</t>
        </is>
      </c>
    </row>
    <row r="392">
      <c r="A392" t="b">
        <v>1</v>
      </c>
      <c r="B392" t="n">
        <v>391</v>
      </c>
      <c r="C392" t="inlineStr">
        <is>
          <t>B5</t>
        </is>
      </c>
      <c r="D392" t="inlineStr">
        <is>
          <t>caber</t>
        </is>
      </c>
      <c r="E392" t="n">
        <v>3774</v>
      </c>
      <c r="F392" t="n">
        <v>0.03</v>
      </c>
      <c r="G392" t="inlineStr">
        <is>
          <t>fenepm</t>
        </is>
      </c>
      <c r="H392" t="inlineStr">
        <is>
          <t>constant</t>
        </is>
      </c>
      <c r="I392" t="n">
        <v>0.050436</v>
      </c>
      <c r="J392" t="inlineStr">
        <is>
          <t>[0.01, 0.03, 0.1, 0.3, 1, 3, 10, 30, 100]</t>
        </is>
      </c>
      <c r="K392" t="inlineStr">
        <is>
          <t>clasen_boger_km</t>
        </is>
      </c>
      <c r="L392" t="inlineStr">
        <is>
          <t>julia/experiments/tnwpaper/outputs/exptl_comparison</t>
        </is>
      </c>
      <c r="M392" t="inlineStr">
        <is>
          <t>CANONICAL: Clasen-Boger A-D, c/c*_KM (KM=5), h*K=0.03</t>
        </is>
      </c>
    </row>
    <row r="393">
      <c r="A393" t="b">
        <v>1</v>
      </c>
      <c r="B393" t="n">
        <v>392</v>
      </c>
      <c r="C393" t="inlineStr">
        <is>
          <t>B5</t>
        </is>
      </c>
      <c r="D393" t="inlineStr">
        <is>
          <t>caber</t>
        </is>
      </c>
      <c r="E393" t="n">
        <v>3774</v>
      </c>
      <c r="F393" t="n">
        <v>0.03</v>
      </c>
      <c r="G393" t="inlineStr">
        <is>
          <t>fenepm</t>
        </is>
      </c>
      <c r="H393" t="inlineStr">
        <is>
          <t>c2d2</t>
        </is>
      </c>
      <c r="I393" t="n">
        <v>0.050436</v>
      </c>
      <c r="J393" t="inlineStr">
        <is>
          <t>[0.01, 0.03, 0.1, 0.3, 1, 3, 10, 30, 100]</t>
        </is>
      </c>
      <c r="K393" t="inlineStr">
        <is>
          <t>clasen_boger_km</t>
        </is>
      </c>
      <c r="L393" t="inlineStr">
        <is>
          <t>julia/experiments/tnwpaper/outputs/exptl_comparison</t>
        </is>
      </c>
      <c r="M393" t="inlineStr">
        <is>
          <t>CANONICAL: Clasen-Boger A-D, c/c*_KM (KM=5), h*K=0.03</t>
        </is>
      </c>
    </row>
    <row r="394">
      <c r="A394" t="b">
        <v>1</v>
      </c>
      <c r="B394" t="n">
        <v>393</v>
      </c>
      <c r="C394" t="inlineStr">
        <is>
          <t>B6</t>
        </is>
      </c>
      <c r="D394" t="inlineStr">
        <is>
          <t>styext</t>
        </is>
      </c>
      <c r="E394" t="n">
        <v>3774</v>
      </c>
      <c r="F394" t="n">
        <v>0.03</v>
      </c>
      <c r="G394" t="inlineStr">
        <is>
          <t>fenepm</t>
        </is>
      </c>
      <c r="H394" t="inlineStr">
        <is>
          <t>constant</t>
        </is>
      </c>
      <c r="I394" t="n">
        <v>0.090555</v>
      </c>
      <c r="J394" t="n">
        <v>1</v>
      </c>
      <c r="K394" t="inlineStr">
        <is>
          <t>clasen_boger_km</t>
        </is>
      </c>
      <c r="L394" t="inlineStr">
        <is>
          <t>julia/experiments/tnwpaper/outputs/exptl_comparison</t>
        </is>
      </c>
      <c r="M394" t="inlineStr">
        <is>
          <t>CANONICAL: Clasen-Boger A-D, c/c*_KM (KM=5), h*K=0.03</t>
        </is>
      </c>
    </row>
    <row r="395">
      <c r="A395" t="b">
        <v>1</v>
      </c>
      <c r="B395" t="n">
        <v>394</v>
      </c>
      <c r="C395" t="inlineStr">
        <is>
          <t>B6</t>
        </is>
      </c>
      <c r="D395" t="inlineStr">
        <is>
          <t>styext</t>
        </is>
      </c>
      <c r="E395" t="n">
        <v>3774</v>
      </c>
      <c r="F395" t="n">
        <v>0.03</v>
      </c>
      <c r="G395" t="inlineStr">
        <is>
          <t>fenepm</t>
        </is>
      </c>
      <c r="H395" t="inlineStr">
        <is>
          <t>c2d2</t>
        </is>
      </c>
      <c r="I395" t="n">
        <v>0.090555</v>
      </c>
      <c r="J395" t="n">
        <v>1</v>
      </c>
      <c r="K395" t="inlineStr">
        <is>
          <t>clasen_boger_km</t>
        </is>
      </c>
      <c r="L395" t="inlineStr">
        <is>
          <t>julia/experiments/tnwpaper/outputs/exptl_comparison</t>
        </is>
      </c>
      <c r="M395" t="inlineStr">
        <is>
          <t>CANONICAL: Clasen-Boger A-D, c/c*_KM (KM=5), h*K=0.03</t>
        </is>
      </c>
    </row>
    <row r="396">
      <c r="A396" t="b">
        <v>1</v>
      </c>
      <c r="B396" t="n">
        <v>395</v>
      </c>
      <c r="C396" t="inlineStr">
        <is>
          <t>B6</t>
        </is>
      </c>
      <c r="D396" t="inlineStr">
        <is>
          <t>caber</t>
        </is>
      </c>
      <c r="E396" t="n">
        <v>3774</v>
      </c>
      <c r="F396" t="n">
        <v>0.03</v>
      </c>
      <c r="G396" t="inlineStr">
        <is>
          <t>fenepm</t>
        </is>
      </c>
      <c r="H396" t="inlineStr">
        <is>
          <t>constant</t>
        </is>
      </c>
      <c r="I396" t="n">
        <v>0.090555</v>
      </c>
      <c r="J396" t="inlineStr">
        <is>
          <t>[0.01, 0.03, 0.1, 0.3, 1, 3, 10, 30, 100]</t>
        </is>
      </c>
      <c r="K396" t="inlineStr">
        <is>
          <t>clasen_boger_km</t>
        </is>
      </c>
      <c r="L396" t="inlineStr">
        <is>
          <t>julia/experiments/tnwpaper/outputs/exptl_comparison</t>
        </is>
      </c>
      <c r="M396" t="inlineStr">
        <is>
          <t>CANONICAL: Clasen-Boger A-D, c/c*_KM (KM=5), h*K=0.03</t>
        </is>
      </c>
    </row>
    <row r="397">
      <c r="A397" t="b">
        <v>1</v>
      </c>
      <c r="B397" t="n">
        <v>396</v>
      </c>
      <c r="C397" t="inlineStr">
        <is>
          <t>B6</t>
        </is>
      </c>
      <c r="D397" t="inlineStr">
        <is>
          <t>caber</t>
        </is>
      </c>
      <c r="E397" t="n">
        <v>3774</v>
      </c>
      <c r="F397" t="n">
        <v>0.03</v>
      </c>
      <c r="G397" t="inlineStr">
        <is>
          <t>fenepm</t>
        </is>
      </c>
      <c r="H397" t="inlineStr">
        <is>
          <t>c2d2</t>
        </is>
      </c>
      <c r="I397" t="n">
        <v>0.090555</v>
      </c>
      <c r="J397" t="inlineStr">
        <is>
          <t>[0.01, 0.03, 0.1, 0.3, 1, 3, 10, 30, 100]</t>
        </is>
      </c>
      <c r="K397" t="inlineStr">
        <is>
          <t>clasen_boger_km</t>
        </is>
      </c>
      <c r="L397" t="inlineStr">
        <is>
          <t>julia/experiments/tnwpaper/outputs/exptl_comparison</t>
        </is>
      </c>
      <c r="M397" t="inlineStr">
        <is>
          <t>CANONICAL: Clasen-Boger A-D, c/c*_KM (KM=5), h*K=0.03</t>
        </is>
      </c>
    </row>
    <row r="398">
      <c r="A398" t="b">
        <v>1</v>
      </c>
      <c r="B398" t="n">
        <v>397</v>
      </c>
      <c r="C398" t="inlineStr">
        <is>
          <t>B7</t>
        </is>
      </c>
      <c r="D398" t="inlineStr">
        <is>
          <t>styext</t>
        </is>
      </c>
      <c r="E398" t="n">
        <v>3774</v>
      </c>
      <c r="F398" t="n">
        <v>0.03</v>
      </c>
      <c r="G398" t="inlineStr">
        <is>
          <t>fenepm</t>
        </is>
      </c>
      <c r="H398" t="inlineStr">
        <is>
          <t>constant</t>
        </is>
      </c>
      <c r="I398" t="n">
        <v>0.165062</v>
      </c>
      <c r="J398" t="n">
        <v>1</v>
      </c>
      <c r="K398" t="inlineStr">
        <is>
          <t>clasen_boger_km</t>
        </is>
      </c>
      <c r="L398" t="inlineStr">
        <is>
          <t>julia/experiments/tnwpaper/outputs/exptl_comparison</t>
        </is>
      </c>
      <c r="M398" t="inlineStr">
        <is>
          <t>CANONICAL: Clasen-Boger A-D, c/c*_KM (KM=5), h*K=0.03</t>
        </is>
      </c>
    </row>
    <row r="399">
      <c r="A399" t="b">
        <v>1</v>
      </c>
      <c r="B399" t="n">
        <v>398</v>
      </c>
      <c r="C399" t="inlineStr">
        <is>
          <t>B7</t>
        </is>
      </c>
      <c r="D399" t="inlineStr">
        <is>
          <t>styext</t>
        </is>
      </c>
      <c r="E399" t="n">
        <v>3774</v>
      </c>
      <c r="F399" t="n">
        <v>0.03</v>
      </c>
      <c r="G399" t="inlineStr">
        <is>
          <t>fenepm</t>
        </is>
      </c>
      <c r="H399" t="inlineStr">
        <is>
          <t>c2d2</t>
        </is>
      </c>
      <c r="I399" t="n">
        <v>0.165062</v>
      </c>
      <c r="J399" t="n">
        <v>1</v>
      </c>
      <c r="K399" t="inlineStr">
        <is>
          <t>clasen_boger_km</t>
        </is>
      </c>
      <c r="L399" t="inlineStr">
        <is>
          <t>julia/experiments/tnwpaper/outputs/exptl_comparison</t>
        </is>
      </c>
      <c r="M399" t="inlineStr">
        <is>
          <t>CANONICAL: Clasen-Boger A-D, c/c*_KM (KM=5), h*K=0.03</t>
        </is>
      </c>
    </row>
    <row r="400">
      <c r="A400" t="b">
        <v>1</v>
      </c>
      <c r="B400" t="n">
        <v>399</v>
      </c>
      <c r="C400" t="inlineStr">
        <is>
          <t>B7</t>
        </is>
      </c>
      <c r="D400" t="inlineStr">
        <is>
          <t>caber</t>
        </is>
      </c>
      <c r="E400" t="n">
        <v>3774</v>
      </c>
      <c r="F400" t="n">
        <v>0.03</v>
      </c>
      <c r="G400" t="inlineStr">
        <is>
          <t>fenepm</t>
        </is>
      </c>
      <c r="H400" t="inlineStr">
        <is>
          <t>constant</t>
        </is>
      </c>
      <c r="I400" t="n">
        <v>0.165062</v>
      </c>
      <c r="J400" t="inlineStr">
        <is>
          <t>[0.01, 0.03, 0.1, 0.3, 1, 3, 10, 30, 100]</t>
        </is>
      </c>
      <c r="K400" t="inlineStr">
        <is>
          <t>clasen_boger_km</t>
        </is>
      </c>
      <c r="L400" t="inlineStr">
        <is>
          <t>julia/experiments/tnwpaper/outputs/exptl_comparison</t>
        </is>
      </c>
      <c r="M400" t="inlineStr">
        <is>
          <t>CANONICAL: Clasen-Boger A-D, c/c*_KM (KM=5), h*K=0.03</t>
        </is>
      </c>
    </row>
    <row r="401">
      <c r="A401" t="b">
        <v>1</v>
      </c>
      <c r="B401" t="n">
        <v>400</v>
      </c>
      <c r="C401" t="inlineStr">
        <is>
          <t>B7</t>
        </is>
      </c>
      <c r="D401" t="inlineStr">
        <is>
          <t>caber</t>
        </is>
      </c>
      <c r="E401" t="n">
        <v>3774</v>
      </c>
      <c r="F401" t="n">
        <v>0.03</v>
      </c>
      <c r="G401" t="inlineStr">
        <is>
          <t>fenepm</t>
        </is>
      </c>
      <c r="H401" t="inlineStr">
        <is>
          <t>c2d2</t>
        </is>
      </c>
      <c r="I401" t="n">
        <v>0.165062</v>
      </c>
      <c r="J401" t="inlineStr">
        <is>
          <t>[0.01, 0.03, 0.1, 0.3, 1, 3, 10, 30, 100]</t>
        </is>
      </c>
      <c r="K401" t="inlineStr">
        <is>
          <t>clasen_boger_km</t>
        </is>
      </c>
      <c r="L401" t="inlineStr">
        <is>
          <t>julia/experiments/tnwpaper/outputs/exptl_comparison</t>
        </is>
      </c>
      <c r="M401" t="inlineStr">
        <is>
          <t>CANONICAL: Clasen-Boger A-D, c/c*_KM (KM=5), h*K=0.03</t>
        </is>
      </c>
    </row>
    <row r="402">
      <c r="A402" t="b">
        <v>1</v>
      </c>
      <c r="B402" t="n">
        <v>401</v>
      </c>
      <c r="C402" t="inlineStr">
        <is>
          <t>C1</t>
        </is>
      </c>
      <c r="D402" t="inlineStr">
        <is>
          <t>styext</t>
        </is>
      </c>
      <c r="E402" t="n">
        <v>7682</v>
      </c>
      <c r="F402" t="n">
        <v>0.03</v>
      </c>
      <c r="G402" t="inlineStr">
        <is>
          <t>fenepm</t>
        </is>
      </c>
      <c r="H402" t="inlineStr">
        <is>
          <t>constant</t>
        </is>
      </c>
      <c r="I402" t="n">
        <v>0.013341</v>
      </c>
      <c r="J402" t="n">
        <v>1</v>
      </c>
      <c r="K402" t="inlineStr">
        <is>
          <t>clasen_boger_km</t>
        </is>
      </c>
      <c r="L402" t="inlineStr">
        <is>
          <t>julia/experiments/tnwpaper/outputs/exptl_comparison</t>
        </is>
      </c>
      <c r="M402" t="inlineStr">
        <is>
          <t>CANONICAL: Clasen-Boger A-D, c/c*_KM (KM=5), h*K=0.03</t>
        </is>
      </c>
    </row>
    <row r="403">
      <c r="A403" t="b">
        <v>1</v>
      </c>
      <c r="B403" t="n">
        <v>402</v>
      </c>
      <c r="C403" t="inlineStr">
        <is>
          <t>C1</t>
        </is>
      </c>
      <c r="D403" t="inlineStr">
        <is>
          <t>styext</t>
        </is>
      </c>
      <c r="E403" t="n">
        <v>7682</v>
      </c>
      <c r="F403" t="n">
        <v>0.03</v>
      </c>
      <c r="G403" t="inlineStr">
        <is>
          <t>fenepm</t>
        </is>
      </c>
      <c r="H403" t="inlineStr">
        <is>
          <t>c2d2</t>
        </is>
      </c>
      <c r="I403" t="n">
        <v>0.013341</v>
      </c>
      <c r="J403" t="n">
        <v>1</v>
      </c>
      <c r="K403" t="inlineStr">
        <is>
          <t>clasen_boger_km</t>
        </is>
      </c>
      <c r="L403" t="inlineStr">
        <is>
          <t>julia/experiments/tnwpaper/outputs/exptl_comparison</t>
        </is>
      </c>
      <c r="M403" t="inlineStr">
        <is>
          <t>CANONICAL: Clasen-Boger A-D, c/c*_KM (KM=5), h*K=0.03</t>
        </is>
      </c>
    </row>
    <row r="404">
      <c r="A404" t="b">
        <v>1</v>
      </c>
      <c r="B404" t="n">
        <v>403</v>
      </c>
      <c r="C404" t="inlineStr">
        <is>
          <t>C1</t>
        </is>
      </c>
      <c r="D404" t="inlineStr">
        <is>
          <t>caber</t>
        </is>
      </c>
      <c r="E404" t="n">
        <v>7682</v>
      </c>
      <c r="F404" t="n">
        <v>0.03</v>
      </c>
      <c r="G404" t="inlineStr">
        <is>
          <t>fenepm</t>
        </is>
      </c>
      <c r="H404" t="inlineStr">
        <is>
          <t>constant</t>
        </is>
      </c>
      <c r="I404" t="n">
        <v>0.013341</v>
      </c>
      <c r="J404" t="inlineStr">
        <is>
          <t>[0.01, 0.03, 0.1, 0.3, 1, 3, 10, 30, 100]</t>
        </is>
      </c>
      <c r="K404" t="inlineStr">
        <is>
          <t>clasen_boger_km</t>
        </is>
      </c>
      <c r="L404" t="inlineStr">
        <is>
          <t>julia/experiments/tnwpaper/outputs/exptl_comparison</t>
        </is>
      </c>
      <c r="M404" t="inlineStr">
        <is>
          <t>CANONICAL: Clasen-Boger A-D, c/c*_KM (KM=5), h*K=0.03</t>
        </is>
      </c>
    </row>
    <row r="405">
      <c r="A405" t="b">
        <v>1</v>
      </c>
      <c r="B405" t="n">
        <v>404</v>
      </c>
      <c r="C405" t="inlineStr">
        <is>
          <t>C1</t>
        </is>
      </c>
      <c r="D405" t="inlineStr">
        <is>
          <t>caber</t>
        </is>
      </c>
      <c r="E405" t="n">
        <v>7682</v>
      </c>
      <c r="F405" t="n">
        <v>0.03</v>
      </c>
      <c r="G405" t="inlineStr">
        <is>
          <t>fenepm</t>
        </is>
      </c>
      <c r="H405" t="inlineStr">
        <is>
          <t>c2d2</t>
        </is>
      </c>
      <c r="I405" t="n">
        <v>0.013341</v>
      </c>
      <c r="J405" t="inlineStr">
        <is>
          <t>[0.01, 0.03, 0.1, 0.3, 1, 3, 10, 30, 100]</t>
        </is>
      </c>
      <c r="K405" t="inlineStr">
        <is>
          <t>clasen_boger_km</t>
        </is>
      </c>
      <c r="L405" t="inlineStr">
        <is>
          <t>julia/experiments/tnwpaper/outputs/exptl_comparison</t>
        </is>
      </c>
      <c r="M405" t="inlineStr">
        <is>
          <t>CANONICAL: Clasen-Boger A-D, c/c*_KM (KM=5), h*K=0.03</t>
        </is>
      </c>
    </row>
    <row r="406">
      <c r="A406" t="b">
        <v>1</v>
      </c>
      <c r="B406" t="n">
        <v>405</v>
      </c>
      <c r="C406" t="inlineStr">
        <is>
          <t>C2</t>
        </is>
      </c>
      <c r="D406" t="inlineStr">
        <is>
          <t>styext</t>
        </is>
      </c>
      <c r="E406" t="n">
        <v>7682</v>
      </c>
      <c r="F406" t="n">
        <v>0.03</v>
      </c>
      <c r="G406" t="inlineStr">
        <is>
          <t>fenepm</t>
        </is>
      </c>
      <c r="H406" t="inlineStr">
        <is>
          <t>constant</t>
        </is>
      </c>
      <c r="I406" t="n">
        <v>0.016887</v>
      </c>
      <c r="J406" t="n">
        <v>1</v>
      </c>
      <c r="K406" t="inlineStr">
        <is>
          <t>clasen_boger_km</t>
        </is>
      </c>
      <c r="L406" t="inlineStr">
        <is>
          <t>julia/experiments/tnwpaper/outputs/exptl_comparison</t>
        </is>
      </c>
      <c r="M406" t="inlineStr">
        <is>
          <t>CANONICAL: Clasen-Boger A-D, c/c*_KM (KM=5), h*K=0.03</t>
        </is>
      </c>
    </row>
    <row r="407">
      <c r="A407" t="b">
        <v>1</v>
      </c>
      <c r="B407" t="n">
        <v>406</v>
      </c>
      <c r="C407" t="inlineStr">
        <is>
          <t>C2</t>
        </is>
      </c>
      <c r="D407" t="inlineStr">
        <is>
          <t>styext</t>
        </is>
      </c>
      <c r="E407" t="n">
        <v>7682</v>
      </c>
      <c r="F407" t="n">
        <v>0.03</v>
      </c>
      <c r="G407" t="inlineStr">
        <is>
          <t>fenepm</t>
        </is>
      </c>
      <c r="H407" t="inlineStr">
        <is>
          <t>c2d2</t>
        </is>
      </c>
      <c r="I407" t="n">
        <v>0.016887</v>
      </c>
      <c r="J407" t="n">
        <v>1</v>
      </c>
      <c r="K407" t="inlineStr">
        <is>
          <t>clasen_boger_km</t>
        </is>
      </c>
      <c r="L407" t="inlineStr">
        <is>
          <t>julia/experiments/tnwpaper/outputs/exptl_comparison</t>
        </is>
      </c>
      <c r="M407" t="inlineStr">
        <is>
          <t>CANONICAL: Clasen-Boger A-D, c/c*_KM (KM=5), h*K=0.03</t>
        </is>
      </c>
    </row>
    <row r="408">
      <c r="A408" t="b">
        <v>1</v>
      </c>
      <c r="B408" t="n">
        <v>407</v>
      </c>
      <c r="C408" t="inlineStr">
        <is>
          <t>C2</t>
        </is>
      </c>
      <c r="D408" t="inlineStr">
        <is>
          <t>caber</t>
        </is>
      </c>
      <c r="E408" t="n">
        <v>7682</v>
      </c>
      <c r="F408" t="n">
        <v>0.03</v>
      </c>
      <c r="G408" t="inlineStr">
        <is>
          <t>fenepm</t>
        </is>
      </c>
      <c r="H408" t="inlineStr">
        <is>
          <t>constant</t>
        </is>
      </c>
      <c r="I408" t="n">
        <v>0.016887</v>
      </c>
      <c r="J408" t="inlineStr">
        <is>
          <t>[0.01, 0.03, 0.1, 0.3, 1, 3, 10, 30, 100]</t>
        </is>
      </c>
      <c r="K408" t="inlineStr">
        <is>
          <t>clasen_boger_km</t>
        </is>
      </c>
      <c r="L408" t="inlineStr">
        <is>
          <t>julia/experiments/tnwpaper/outputs/exptl_comparison</t>
        </is>
      </c>
      <c r="M408" t="inlineStr">
        <is>
          <t>CANONICAL: Clasen-Boger A-D, c/c*_KM (KM=5), h*K=0.03</t>
        </is>
      </c>
    </row>
    <row r="409">
      <c r="A409" t="b">
        <v>1</v>
      </c>
      <c r="B409" t="n">
        <v>408</v>
      </c>
      <c r="C409" t="inlineStr">
        <is>
          <t>C2</t>
        </is>
      </c>
      <c r="D409" t="inlineStr">
        <is>
          <t>caber</t>
        </is>
      </c>
      <c r="E409" t="n">
        <v>7682</v>
      </c>
      <c r="F409" t="n">
        <v>0.03</v>
      </c>
      <c r="G409" t="inlineStr">
        <is>
          <t>fenepm</t>
        </is>
      </c>
      <c r="H409" t="inlineStr">
        <is>
          <t>c2d2</t>
        </is>
      </c>
      <c r="I409" t="n">
        <v>0.016887</v>
      </c>
      <c r="J409" t="inlineStr">
        <is>
          <t>[0.01, 0.03, 0.1, 0.3, 1, 3, 10, 30, 100]</t>
        </is>
      </c>
      <c r="K409" t="inlineStr">
        <is>
          <t>clasen_boger_km</t>
        </is>
      </c>
      <c r="L409" t="inlineStr">
        <is>
          <t>julia/experiments/tnwpaper/outputs/exptl_comparison</t>
        </is>
      </c>
      <c r="M409" t="inlineStr">
        <is>
          <t>CANONICAL: Clasen-Boger A-D, c/c*_KM (KM=5), h*K=0.03</t>
        </is>
      </c>
    </row>
    <row r="410">
      <c r="A410" t="b">
        <v>1</v>
      </c>
      <c r="B410" t="n">
        <v>409</v>
      </c>
      <c r="C410" t="inlineStr">
        <is>
          <t>C3</t>
        </is>
      </c>
      <c r="D410" t="inlineStr">
        <is>
          <t>styext</t>
        </is>
      </c>
      <c r="E410" t="n">
        <v>7682</v>
      </c>
      <c r="F410" t="n">
        <v>0.03</v>
      </c>
      <c r="G410" t="inlineStr">
        <is>
          <t>fenepm</t>
        </is>
      </c>
      <c r="H410" t="inlineStr">
        <is>
          <t>constant</t>
        </is>
      </c>
      <c r="I410" t="n">
        <v>0.053363</v>
      </c>
      <c r="J410" t="n">
        <v>1</v>
      </c>
      <c r="K410" t="inlineStr">
        <is>
          <t>clasen_boger_km</t>
        </is>
      </c>
      <c r="L410" t="inlineStr">
        <is>
          <t>julia/experiments/tnwpaper/outputs/exptl_comparison</t>
        </is>
      </c>
      <c r="M410" t="inlineStr">
        <is>
          <t>CANONICAL: Clasen-Boger A-D, c/c*_KM (KM=5), h*K=0.03</t>
        </is>
      </c>
    </row>
    <row r="411">
      <c r="A411" t="b">
        <v>1</v>
      </c>
      <c r="B411" t="n">
        <v>410</v>
      </c>
      <c r="C411" t="inlineStr">
        <is>
          <t>C3</t>
        </is>
      </c>
      <c r="D411" t="inlineStr">
        <is>
          <t>styext</t>
        </is>
      </c>
      <c r="E411" t="n">
        <v>7682</v>
      </c>
      <c r="F411" t="n">
        <v>0.03</v>
      </c>
      <c r="G411" t="inlineStr">
        <is>
          <t>fenepm</t>
        </is>
      </c>
      <c r="H411" t="inlineStr">
        <is>
          <t>c2d2</t>
        </is>
      </c>
      <c r="I411" t="n">
        <v>0.053363</v>
      </c>
      <c r="J411" t="n">
        <v>1</v>
      </c>
      <c r="K411" t="inlineStr">
        <is>
          <t>clasen_boger_km</t>
        </is>
      </c>
      <c r="L411" t="inlineStr">
        <is>
          <t>julia/experiments/tnwpaper/outputs/exptl_comparison</t>
        </is>
      </c>
      <c r="M411" t="inlineStr">
        <is>
          <t>CANONICAL: Clasen-Boger A-D, c/c*_KM (KM=5), h*K=0.03</t>
        </is>
      </c>
    </row>
    <row r="412">
      <c r="A412" t="b">
        <v>1</v>
      </c>
      <c r="B412" t="n">
        <v>411</v>
      </c>
      <c r="C412" t="inlineStr">
        <is>
          <t>C3</t>
        </is>
      </c>
      <c r="D412" t="inlineStr">
        <is>
          <t>caber</t>
        </is>
      </c>
      <c r="E412" t="n">
        <v>7682</v>
      </c>
      <c r="F412" t="n">
        <v>0.03</v>
      </c>
      <c r="G412" t="inlineStr">
        <is>
          <t>fenepm</t>
        </is>
      </c>
      <c r="H412" t="inlineStr">
        <is>
          <t>constant</t>
        </is>
      </c>
      <c r="I412" t="n">
        <v>0.053363</v>
      </c>
      <c r="J412" t="inlineStr">
        <is>
          <t>[0.01, 0.03, 0.1, 0.3, 1, 3, 10, 30, 100]</t>
        </is>
      </c>
      <c r="K412" t="inlineStr">
        <is>
          <t>clasen_boger_km</t>
        </is>
      </c>
      <c r="L412" t="inlineStr">
        <is>
          <t>julia/experiments/tnwpaper/outputs/exptl_comparison</t>
        </is>
      </c>
      <c r="M412" t="inlineStr">
        <is>
          <t>CANONICAL: Clasen-Boger A-D, c/c*_KM (KM=5), h*K=0.03</t>
        </is>
      </c>
    </row>
    <row r="413">
      <c r="A413" t="b">
        <v>1</v>
      </c>
      <c r="B413" t="n">
        <v>412</v>
      </c>
      <c r="C413" t="inlineStr">
        <is>
          <t>C3</t>
        </is>
      </c>
      <c r="D413" t="inlineStr">
        <is>
          <t>caber</t>
        </is>
      </c>
      <c r="E413" t="n">
        <v>7682</v>
      </c>
      <c r="F413" t="n">
        <v>0.03</v>
      </c>
      <c r="G413" t="inlineStr">
        <is>
          <t>fenepm</t>
        </is>
      </c>
      <c r="H413" t="inlineStr">
        <is>
          <t>c2d2</t>
        </is>
      </c>
      <c r="I413" t="n">
        <v>0.053363</v>
      </c>
      <c r="J413" t="inlineStr">
        <is>
          <t>[0.01, 0.03, 0.1, 0.3, 1, 3, 10, 30, 100]</t>
        </is>
      </c>
      <c r="K413" t="inlineStr">
        <is>
          <t>clasen_boger_km</t>
        </is>
      </c>
      <c r="L413" t="inlineStr">
        <is>
          <t>julia/experiments/tnwpaper/outputs/exptl_comparison</t>
        </is>
      </c>
      <c r="M413" t="inlineStr">
        <is>
          <t>CANONICAL: Clasen-Boger A-D, c/c*_KM (KM=5), h*K=0.03</t>
        </is>
      </c>
    </row>
    <row r="414">
      <c r="A414" t="b">
        <v>1</v>
      </c>
      <c r="B414" t="n">
        <v>413</v>
      </c>
      <c r="C414" t="inlineStr">
        <is>
          <t>C4</t>
        </is>
      </c>
      <c r="D414" t="inlineStr">
        <is>
          <t>styext</t>
        </is>
      </c>
      <c r="E414" t="n">
        <v>7682</v>
      </c>
      <c r="F414" t="n">
        <v>0.03</v>
      </c>
      <c r="G414" t="inlineStr">
        <is>
          <t>fenepm</t>
        </is>
      </c>
      <c r="H414" t="inlineStr">
        <is>
          <t>constant</t>
        </is>
      </c>
      <c r="I414" t="n">
        <v>0.168871</v>
      </c>
      <c r="J414" t="n">
        <v>1</v>
      </c>
      <c r="K414" t="inlineStr">
        <is>
          <t>clasen_boger_km</t>
        </is>
      </c>
      <c r="L414" t="inlineStr">
        <is>
          <t>julia/experiments/tnwpaper/outputs/exptl_comparison</t>
        </is>
      </c>
      <c r="M414" t="inlineStr">
        <is>
          <t>CANONICAL: Clasen-Boger A-D, c/c*_KM (KM=5), h*K=0.03</t>
        </is>
      </c>
    </row>
    <row r="415">
      <c r="A415" t="b">
        <v>1</v>
      </c>
      <c r="B415" t="n">
        <v>414</v>
      </c>
      <c r="C415" t="inlineStr">
        <is>
          <t>C4</t>
        </is>
      </c>
      <c r="D415" t="inlineStr">
        <is>
          <t>styext</t>
        </is>
      </c>
      <c r="E415" t="n">
        <v>7682</v>
      </c>
      <c r="F415" t="n">
        <v>0.03</v>
      </c>
      <c r="G415" t="inlineStr">
        <is>
          <t>fenepm</t>
        </is>
      </c>
      <c r="H415" t="inlineStr">
        <is>
          <t>c2d2</t>
        </is>
      </c>
      <c r="I415" t="n">
        <v>0.168871</v>
      </c>
      <c r="J415" t="n">
        <v>1</v>
      </c>
      <c r="K415" t="inlineStr">
        <is>
          <t>clasen_boger_km</t>
        </is>
      </c>
      <c r="L415" t="inlineStr">
        <is>
          <t>julia/experiments/tnwpaper/outputs/exptl_comparison</t>
        </is>
      </c>
      <c r="M415" t="inlineStr">
        <is>
          <t>CANONICAL: Clasen-Boger A-D, c/c*_KM (KM=5), h*K=0.03</t>
        </is>
      </c>
    </row>
    <row r="416">
      <c r="A416" t="b">
        <v>1</v>
      </c>
      <c r="B416" t="n">
        <v>415</v>
      </c>
      <c r="C416" t="inlineStr">
        <is>
          <t>C4</t>
        </is>
      </c>
      <c r="D416" t="inlineStr">
        <is>
          <t>caber</t>
        </is>
      </c>
      <c r="E416" t="n">
        <v>7682</v>
      </c>
      <c r="F416" t="n">
        <v>0.03</v>
      </c>
      <c r="G416" t="inlineStr">
        <is>
          <t>fenepm</t>
        </is>
      </c>
      <c r="H416" t="inlineStr">
        <is>
          <t>constant</t>
        </is>
      </c>
      <c r="I416" t="n">
        <v>0.168871</v>
      </c>
      <c r="J416" t="inlineStr">
        <is>
          <t>[0.01, 0.03, 0.1, 0.3, 1, 3, 10, 30, 100]</t>
        </is>
      </c>
      <c r="K416" t="inlineStr">
        <is>
          <t>clasen_boger_km</t>
        </is>
      </c>
      <c r="L416" t="inlineStr">
        <is>
          <t>julia/experiments/tnwpaper/outputs/exptl_comparison</t>
        </is>
      </c>
      <c r="M416" t="inlineStr">
        <is>
          <t>CANONICAL: Clasen-Boger A-D, c/c*_KM (KM=5), h*K=0.03</t>
        </is>
      </c>
    </row>
    <row r="417">
      <c r="A417" t="b">
        <v>1</v>
      </c>
      <c r="B417" t="n">
        <v>416</v>
      </c>
      <c r="C417" t="inlineStr">
        <is>
          <t>C4</t>
        </is>
      </c>
      <c r="D417" t="inlineStr">
        <is>
          <t>caber</t>
        </is>
      </c>
      <c r="E417" t="n">
        <v>7682</v>
      </c>
      <c r="F417" t="n">
        <v>0.03</v>
      </c>
      <c r="G417" t="inlineStr">
        <is>
          <t>fenepm</t>
        </is>
      </c>
      <c r="H417" t="inlineStr">
        <is>
          <t>c2d2</t>
        </is>
      </c>
      <c r="I417" t="n">
        <v>0.168871</v>
      </c>
      <c r="J417" t="inlineStr">
        <is>
          <t>[0.01, 0.03, 0.1, 0.3, 1, 3, 10, 30, 100]</t>
        </is>
      </c>
      <c r="K417" t="inlineStr">
        <is>
          <t>clasen_boger_km</t>
        </is>
      </c>
      <c r="L417" t="inlineStr">
        <is>
          <t>julia/experiments/tnwpaper/outputs/exptl_comparison</t>
        </is>
      </c>
      <c r="M417" t="inlineStr">
        <is>
          <t>CANONICAL: Clasen-Boger A-D, c/c*_KM (KM=5), h*K=0.03</t>
        </is>
      </c>
    </row>
    <row r="418">
      <c r="A418" t="b">
        <v>1</v>
      </c>
      <c r="B418" t="n">
        <v>417</v>
      </c>
      <c r="C418" t="inlineStr">
        <is>
          <t>C5</t>
        </is>
      </c>
      <c r="D418" t="inlineStr">
        <is>
          <t>styext</t>
        </is>
      </c>
      <c r="E418" t="n">
        <v>7682</v>
      </c>
      <c r="F418" t="n">
        <v>0.03</v>
      </c>
      <c r="G418" t="inlineStr">
        <is>
          <t>fenepm</t>
        </is>
      </c>
      <c r="H418" t="inlineStr">
        <is>
          <t>constant</t>
        </is>
      </c>
      <c r="I418" t="n">
        <v>0.533633</v>
      </c>
      <c r="J418" t="n">
        <v>1</v>
      </c>
      <c r="K418" t="inlineStr">
        <is>
          <t>clasen_boger_km</t>
        </is>
      </c>
      <c r="L418" t="inlineStr">
        <is>
          <t>julia/experiments/tnwpaper/outputs/exptl_comparison</t>
        </is>
      </c>
      <c r="M418" t="inlineStr">
        <is>
          <t>CANONICAL: Clasen-Boger A-D, c/c*_KM (KM=5), h*K=0.03</t>
        </is>
      </c>
    </row>
    <row r="419">
      <c r="A419" t="b">
        <v>1</v>
      </c>
      <c r="B419" t="n">
        <v>418</v>
      </c>
      <c r="C419" t="inlineStr">
        <is>
          <t>C5</t>
        </is>
      </c>
      <c r="D419" t="inlineStr">
        <is>
          <t>styext</t>
        </is>
      </c>
      <c r="E419" t="n">
        <v>7682</v>
      </c>
      <c r="F419" t="n">
        <v>0.03</v>
      </c>
      <c r="G419" t="inlineStr">
        <is>
          <t>fenepm</t>
        </is>
      </c>
      <c r="H419" t="inlineStr">
        <is>
          <t>c2d2</t>
        </is>
      </c>
      <c r="I419" t="n">
        <v>0.533633</v>
      </c>
      <c r="J419" t="n">
        <v>1</v>
      </c>
      <c r="K419" t="inlineStr">
        <is>
          <t>clasen_boger_km</t>
        </is>
      </c>
      <c r="L419" t="inlineStr">
        <is>
          <t>julia/experiments/tnwpaper/outputs/exptl_comparison</t>
        </is>
      </c>
      <c r="M419" t="inlineStr">
        <is>
          <t>CANONICAL: Clasen-Boger A-D, c/c*_KM (KM=5), h*K=0.03</t>
        </is>
      </c>
    </row>
    <row r="420">
      <c r="A420" t="b">
        <v>1</v>
      </c>
      <c r="B420" t="n">
        <v>419</v>
      </c>
      <c r="C420" t="inlineStr">
        <is>
          <t>C5</t>
        </is>
      </c>
      <c r="D420" t="inlineStr">
        <is>
          <t>caber</t>
        </is>
      </c>
      <c r="E420" t="n">
        <v>7682</v>
      </c>
      <c r="F420" t="n">
        <v>0.03</v>
      </c>
      <c r="G420" t="inlineStr">
        <is>
          <t>fenepm</t>
        </is>
      </c>
      <c r="H420" t="inlineStr">
        <is>
          <t>constant</t>
        </is>
      </c>
      <c r="I420" t="n">
        <v>0.533633</v>
      </c>
      <c r="J420" t="inlineStr">
        <is>
          <t>[0.01, 0.03, 0.1, 0.3, 1, 3, 10, 30, 100]</t>
        </is>
      </c>
      <c r="K420" t="inlineStr">
        <is>
          <t>clasen_boger_km</t>
        </is>
      </c>
      <c r="L420" t="inlineStr">
        <is>
          <t>julia/experiments/tnwpaper/outputs/exptl_comparison</t>
        </is>
      </c>
      <c r="M420" t="inlineStr">
        <is>
          <t>CANONICAL: Clasen-Boger A-D, c/c*_KM (KM=5), h*K=0.03</t>
        </is>
      </c>
    </row>
    <row r="421">
      <c r="A421" t="b">
        <v>1</v>
      </c>
      <c r="B421" t="n">
        <v>420</v>
      </c>
      <c r="C421" t="inlineStr">
        <is>
          <t>C5</t>
        </is>
      </c>
      <c r="D421" t="inlineStr">
        <is>
          <t>caber</t>
        </is>
      </c>
      <c r="E421" t="n">
        <v>7682</v>
      </c>
      <c r="F421" t="n">
        <v>0.03</v>
      </c>
      <c r="G421" t="inlineStr">
        <is>
          <t>fenepm</t>
        </is>
      </c>
      <c r="H421" t="inlineStr">
        <is>
          <t>c2d2</t>
        </is>
      </c>
      <c r="I421" t="n">
        <v>0.533633</v>
      </c>
      <c r="J421" t="inlineStr">
        <is>
          <t>[0.01, 0.03, 0.1, 0.3, 1, 3, 10, 30, 100]</t>
        </is>
      </c>
      <c r="K421" t="inlineStr">
        <is>
          <t>clasen_boger_km</t>
        </is>
      </c>
      <c r="L421" t="inlineStr">
        <is>
          <t>julia/experiments/tnwpaper/outputs/exptl_comparison</t>
        </is>
      </c>
      <c r="M421" t="inlineStr">
        <is>
          <t>CANONICAL: Clasen-Boger A-D, c/c*_KM (KM=5), h*K=0.03</t>
        </is>
      </c>
    </row>
    <row r="422">
      <c r="A422" t="b">
        <v>1</v>
      </c>
      <c r="B422" t="n">
        <v>421</v>
      </c>
      <c r="C422" t="inlineStr">
        <is>
          <t>D1</t>
        </is>
      </c>
      <c r="D422" t="inlineStr">
        <is>
          <t>styext</t>
        </is>
      </c>
      <c r="E422" t="n">
        <v>8086</v>
      </c>
      <c r="F422" t="n">
        <v>0.03</v>
      </c>
      <c r="G422" t="inlineStr">
        <is>
          <t>fenepm</t>
        </is>
      </c>
      <c r="H422" t="inlineStr">
        <is>
          <t>constant</t>
        </is>
      </c>
      <c r="I422" t="n">
        <v>0.017431</v>
      </c>
      <c r="J422" t="n">
        <v>1</v>
      </c>
      <c r="K422" t="inlineStr">
        <is>
          <t>clasen_boger_km</t>
        </is>
      </c>
      <c r="L422" t="inlineStr">
        <is>
          <t>julia/experiments/tnwpaper/outputs/exptl_comparison</t>
        </is>
      </c>
      <c r="M422" t="inlineStr">
        <is>
          <t>CANONICAL: Clasen-Boger A-D, c/c*_KM (KM=5), h*K=0.03</t>
        </is>
      </c>
    </row>
    <row r="423">
      <c r="A423" t="b">
        <v>1</v>
      </c>
      <c r="B423" t="n">
        <v>422</v>
      </c>
      <c r="C423" t="inlineStr">
        <is>
          <t>D1</t>
        </is>
      </c>
      <c r="D423" t="inlineStr">
        <is>
          <t>styext</t>
        </is>
      </c>
      <c r="E423" t="n">
        <v>8086</v>
      </c>
      <c r="F423" t="n">
        <v>0.03</v>
      </c>
      <c r="G423" t="inlineStr">
        <is>
          <t>fenepm</t>
        </is>
      </c>
      <c r="H423" t="inlineStr">
        <is>
          <t>c2d2</t>
        </is>
      </c>
      <c r="I423" t="n">
        <v>0.017431</v>
      </c>
      <c r="J423" t="n">
        <v>1</v>
      </c>
      <c r="K423" t="inlineStr">
        <is>
          <t>clasen_boger_km</t>
        </is>
      </c>
      <c r="L423" t="inlineStr">
        <is>
          <t>julia/experiments/tnwpaper/outputs/exptl_comparison</t>
        </is>
      </c>
      <c r="M423" t="inlineStr">
        <is>
          <t>CANONICAL: Clasen-Boger A-D, c/c*_KM (KM=5), h*K=0.03</t>
        </is>
      </c>
    </row>
    <row r="424">
      <c r="A424" t="b">
        <v>1</v>
      </c>
      <c r="B424" t="n">
        <v>423</v>
      </c>
      <c r="C424" t="inlineStr">
        <is>
          <t>D1</t>
        </is>
      </c>
      <c r="D424" t="inlineStr">
        <is>
          <t>caber</t>
        </is>
      </c>
      <c r="E424" t="n">
        <v>8086</v>
      </c>
      <c r="F424" t="n">
        <v>0.03</v>
      </c>
      <c r="G424" t="inlineStr">
        <is>
          <t>fenepm</t>
        </is>
      </c>
      <c r="H424" t="inlineStr">
        <is>
          <t>constant</t>
        </is>
      </c>
      <c r="I424" t="n">
        <v>0.017431</v>
      </c>
      <c r="J424" t="inlineStr">
        <is>
          <t>[0.01, 0.03, 0.1, 0.3, 1, 3, 10, 30, 100]</t>
        </is>
      </c>
      <c r="K424" t="inlineStr">
        <is>
          <t>clasen_boger_km</t>
        </is>
      </c>
      <c r="L424" t="inlineStr">
        <is>
          <t>julia/experiments/tnwpaper/outputs/exptl_comparison</t>
        </is>
      </c>
      <c r="M424" t="inlineStr">
        <is>
          <t>CANONICAL: Clasen-Boger A-D, c/c*_KM (KM=5), h*K=0.03</t>
        </is>
      </c>
    </row>
    <row r="425">
      <c r="A425" t="b">
        <v>1</v>
      </c>
      <c r="B425" t="n">
        <v>424</v>
      </c>
      <c r="C425" t="inlineStr">
        <is>
          <t>D1</t>
        </is>
      </c>
      <c r="D425" t="inlineStr">
        <is>
          <t>caber</t>
        </is>
      </c>
      <c r="E425" t="n">
        <v>8086</v>
      </c>
      <c r="F425" t="n">
        <v>0.03</v>
      </c>
      <c r="G425" t="inlineStr">
        <is>
          <t>fenepm</t>
        </is>
      </c>
      <c r="H425" t="inlineStr">
        <is>
          <t>c2d2</t>
        </is>
      </c>
      <c r="I425" t="n">
        <v>0.017431</v>
      </c>
      <c r="J425" t="inlineStr">
        <is>
          <t>[0.01, 0.03, 0.1, 0.3, 1, 3, 10, 30, 100]</t>
        </is>
      </c>
      <c r="K425" t="inlineStr">
        <is>
          <t>clasen_boger_km</t>
        </is>
      </c>
      <c r="L425" t="inlineStr">
        <is>
          <t>julia/experiments/tnwpaper/outputs/exptl_comparison</t>
        </is>
      </c>
      <c r="M425" t="inlineStr">
        <is>
          <t>CANONICAL: Clasen-Boger A-D, c/c*_KM (KM=5), h*K=0.03</t>
        </is>
      </c>
    </row>
    <row r="426">
      <c r="A426" t="b">
        <v>1</v>
      </c>
      <c r="B426" t="n">
        <v>425</v>
      </c>
      <c r="C426" t="inlineStr">
        <is>
          <t>D2</t>
        </is>
      </c>
      <c r="D426" t="inlineStr">
        <is>
          <t>styext</t>
        </is>
      </c>
      <c r="E426" t="n">
        <v>8086</v>
      </c>
      <c r="F426" t="n">
        <v>0.03</v>
      </c>
      <c r="G426" t="inlineStr">
        <is>
          <t>fenepm</t>
        </is>
      </c>
      <c r="H426" t="inlineStr">
        <is>
          <t>constant</t>
        </is>
      </c>
      <c r="I426" t="n">
        <v>0.087155</v>
      </c>
      <c r="J426" t="n">
        <v>1</v>
      </c>
      <c r="K426" t="inlineStr">
        <is>
          <t>clasen_boger_km</t>
        </is>
      </c>
      <c r="L426" t="inlineStr">
        <is>
          <t>julia/experiments/tnwpaper/outputs/exptl_comparison</t>
        </is>
      </c>
      <c r="M426" t="inlineStr">
        <is>
          <t>CANONICAL: Clasen-Boger A-D, c/c*_KM (KM=5), h*K=0.03</t>
        </is>
      </c>
    </row>
    <row r="427">
      <c r="A427" t="b">
        <v>1</v>
      </c>
      <c r="B427" t="n">
        <v>426</v>
      </c>
      <c r="C427" t="inlineStr">
        <is>
          <t>D2</t>
        </is>
      </c>
      <c r="D427" t="inlineStr">
        <is>
          <t>styext</t>
        </is>
      </c>
      <c r="E427" t="n">
        <v>8086</v>
      </c>
      <c r="F427" t="n">
        <v>0.03</v>
      </c>
      <c r="G427" t="inlineStr">
        <is>
          <t>fenepm</t>
        </is>
      </c>
      <c r="H427" t="inlineStr">
        <is>
          <t>c2d2</t>
        </is>
      </c>
      <c r="I427" t="n">
        <v>0.087155</v>
      </c>
      <c r="J427" t="n">
        <v>1</v>
      </c>
      <c r="K427" t="inlineStr">
        <is>
          <t>clasen_boger_km</t>
        </is>
      </c>
      <c r="L427" t="inlineStr">
        <is>
          <t>julia/experiments/tnwpaper/outputs/exptl_comparison</t>
        </is>
      </c>
      <c r="M427" t="inlineStr">
        <is>
          <t>CANONICAL: Clasen-Boger A-D, c/c*_KM (KM=5), h*K=0.03</t>
        </is>
      </c>
    </row>
    <row r="428">
      <c r="A428" t="b">
        <v>1</v>
      </c>
      <c r="B428" t="n">
        <v>427</v>
      </c>
      <c r="C428" t="inlineStr">
        <is>
          <t>D2</t>
        </is>
      </c>
      <c r="D428" t="inlineStr">
        <is>
          <t>caber</t>
        </is>
      </c>
      <c r="E428" t="n">
        <v>8086</v>
      </c>
      <c r="F428" t="n">
        <v>0.03</v>
      </c>
      <c r="G428" t="inlineStr">
        <is>
          <t>fenepm</t>
        </is>
      </c>
      <c r="H428" t="inlineStr">
        <is>
          <t>constant</t>
        </is>
      </c>
      <c r="I428" t="n">
        <v>0.087155</v>
      </c>
      <c r="J428" t="inlineStr">
        <is>
          <t>[0.01, 0.03, 0.1, 0.3, 1, 3, 10, 30, 100]</t>
        </is>
      </c>
      <c r="K428" t="inlineStr">
        <is>
          <t>clasen_boger_km</t>
        </is>
      </c>
      <c r="L428" t="inlineStr">
        <is>
          <t>julia/experiments/tnwpaper/outputs/exptl_comparison</t>
        </is>
      </c>
      <c r="M428" t="inlineStr">
        <is>
          <t>CANONICAL: Clasen-Boger A-D, c/c*_KM (KM=5), h*K=0.03</t>
        </is>
      </c>
    </row>
    <row r="429">
      <c r="A429" t="b">
        <v>1</v>
      </c>
      <c r="B429" t="n">
        <v>428</v>
      </c>
      <c r="C429" t="inlineStr">
        <is>
          <t>D2</t>
        </is>
      </c>
      <c r="D429" t="inlineStr">
        <is>
          <t>caber</t>
        </is>
      </c>
      <c r="E429" t="n">
        <v>8086</v>
      </c>
      <c r="F429" t="n">
        <v>0.03</v>
      </c>
      <c r="G429" t="inlineStr">
        <is>
          <t>fenepm</t>
        </is>
      </c>
      <c r="H429" t="inlineStr">
        <is>
          <t>c2d2</t>
        </is>
      </c>
      <c r="I429" t="n">
        <v>0.087155</v>
      </c>
      <c r="J429" t="inlineStr">
        <is>
          <t>[0.01, 0.03, 0.1, 0.3, 1, 3, 10, 30, 100]</t>
        </is>
      </c>
      <c r="K429" t="inlineStr">
        <is>
          <t>clasen_boger_km</t>
        </is>
      </c>
      <c r="L429" t="inlineStr">
        <is>
          <t>julia/experiments/tnwpaper/outputs/exptl_comparison</t>
        </is>
      </c>
      <c r="M429" t="inlineStr">
        <is>
          <t>CANONICAL: Clasen-Boger A-D, c/c*_KM (KM=5), h*K=0.03</t>
        </is>
      </c>
    </row>
    <row r="430">
      <c r="A430" t="b">
        <v>1</v>
      </c>
      <c r="B430" t="n">
        <v>429</v>
      </c>
      <c r="C430" t="inlineStr">
        <is>
          <t>D3</t>
        </is>
      </c>
      <c r="D430" t="inlineStr">
        <is>
          <t>styext</t>
        </is>
      </c>
      <c r="E430" t="n">
        <v>8086</v>
      </c>
      <c r="F430" t="n">
        <v>0.03</v>
      </c>
      <c r="G430" t="inlineStr">
        <is>
          <t>fenepm</t>
        </is>
      </c>
      <c r="H430" t="inlineStr">
        <is>
          <t>constant</t>
        </is>
      </c>
      <c r="I430" t="n">
        <v>0.17431</v>
      </c>
      <c r="J430" t="n">
        <v>1</v>
      </c>
      <c r="K430" t="inlineStr">
        <is>
          <t>clasen_boger_km</t>
        </is>
      </c>
      <c r="L430" t="inlineStr">
        <is>
          <t>julia/experiments/tnwpaper/outputs/exptl_comparison</t>
        </is>
      </c>
      <c r="M430" t="inlineStr">
        <is>
          <t>CANONICAL: Clasen-Boger A-D, c/c*_KM (KM=5), h*K=0.03</t>
        </is>
      </c>
    </row>
    <row r="431">
      <c r="A431" t="b">
        <v>1</v>
      </c>
      <c r="B431" t="n">
        <v>430</v>
      </c>
      <c r="C431" t="inlineStr">
        <is>
          <t>D3</t>
        </is>
      </c>
      <c r="D431" t="inlineStr">
        <is>
          <t>styext</t>
        </is>
      </c>
      <c r="E431" t="n">
        <v>8086</v>
      </c>
      <c r="F431" t="n">
        <v>0.03</v>
      </c>
      <c r="G431" t="inlineStr">
        <is>
          <t>fenepm</t>
        </is>
      </c>
      <c r="H431" t="inlineStr">
        <is>
          <t>c2d2</t>
        </is>
      </c>
      <c r="I431" t="n">
        <v>0.17431</v>
      </c>
      <c r="J431" t="n">
        <v>1</v>
      </c>
      <c r="K431" t="inlineStr">
        <is>
          <t>clasen_boger_km</t>
        </is>
      </c>
      <c r="L431" t="inlineStr">
        <is>
          <t>julia/experiments/tnwpaper/outputs/exptl_comparison</t>
        </is>
      </c>
      <c r="M431" t="inlineStr">
        <is>
          <t>CANONICAL: Clasen-Boger A-D, c/c*_KM (KM=5), h*K=0.03</t>
        </is>
      </c>
    </row>
    <row r="432">
      <c r="A432" t="b">
        <v>1</v>
      </c>
      <c r="B432" t="n">
        <v>431</v>
      </c>
      <c r="C432" t="inlineStr">
        <is>
          <t>D3</t>
        </is>
      </c>
      <c r="D432" t="inlineStr">
        <is>
          <t>caber</t>
        </is>
      </c>
      <c r="E432" t="n">
        <v>8086</v>
      </c>
      <c r="F432" t="n">
        <v>0.03</v>
      </c>
      <c r="G432" t="inlineStr">
        <is>
          <t>fenepm</t>
        </is>
      </c>
      <c r="H432" t="inlineStr">
        <is>
          <t>constant</t>
        </is>
      </c>
      <c r="I432" t="n">
        <v>0.17431</v>
      </c>
      <c r="J432" t="inlineStr">
        <is>
          <t>[0.01, 0.03, 0.1, 0.3, 1, 3, 10, 30, 100]</t>
        </is>
      </c>
      <c r="K432" t="inlineStr">
        <is>
          <t>clasen_boger_km</t>
        </is>
      </c>
      <c r="L432" t="inlineStr">
        <is>
          <t>julia/experiments/tnwpaper/outputs/exptl_comparison</t>
        </is>
      </c>
      <c r="M432" t="inlineStr">
        <is>
          <t>CANONICAL: Clasen-Boger A-D, c/c*_KM (KM=5), h*K=0.03</t>
        </is>
      </c>
    </row>
    <row r="433">
      <c r="A433" t="b">
        <v>1</v>
      </c>
      <c r="B433" t="n">
        <v>432</v>
      </c>
      <c r="C433" t="inlineStr">
        <is>
          <t>D3</t>
        </is>
      </c>
      <c r="D433" t="inlineStr">
        <is>
          <t>caber</t>
        </is>
      </c>
      <c r="E433" t="n">
        <v>8086</v>
      </c>
      <c r="F433" t="n">
        <v>0.03</v>
      </c>
      <c r="G433" t="inlineStr">
        <is>
          <t>fenepm</t>
        </is>
      </c>
      <c r="H433" t="inlineStr">
        <is>
          <t>c2d2</t>
        </is>
      </c>
      <c r="I433" t="n">
        <v>0.17431</v>
      </c>
      <c r="J433" t="inlineStr">
        <is>
          <t>[0.01, 0.03, 0.1, 0.3, 1, 3, 10, 30, 100]</t>
        </is>
      </c>
      <c r="K433" t="inlineStr">
        <is>
          <t>clasen_boger_km</t>
        </is>
      </c>
      <c r="L433" t="inlineStr">
        <is>
          <t>julia/experiments/tnwpaper/outputs/exptl_comparison</t>
        </is>
      </c>
      <c r="M433" t="inlineStr">
        <is>
          <t>CANONICAL: Clasen-Boger A-D, c/c*_KM (KM=5), h*K=0.03</t>
        </is>
      </c>
    </row>
    <row r="434">
      <c r="A434" t="b">
        <v>1</v>
      </c>
      <c r="B434" t="n">
        <v>433</v>
      </c>
      <c r="C434" t="inlineStr">
        <is>
          <t>D4</t>
        </is>
      </c>
      <c r="D434" t="inlineStr">
        <is>
          <t>styext</t>
        </is>
      </c>
      <c r="E434" t="n">
        <v>8086</v>
      </c>
      <c r="F434" t="n">
        <v>0.03</v>
      </c>
      <c r="G434" t="inlineStr">
        <is>
          <t>fenepm</t>
        </is>
      </c>
      <c r="H434" t="inlineStr">
        <is>
          <t>constant</t>
        </is>
      </c>
      <c r="I434" t="n">
        <v>0.435775</v>
      </c>
      <c r="J434" t="n">
        <v>1</v>
      </c>
      <c r="K434" t="inlineStr">
        <is>
          <t>clasen_boger_km</t>
        </is>
      </c>
      <c r="L434" t="inlineStr">
        <is>
          <t>julia/experiments/tnwpaper/outputs/exptl_comparison</t>
        </is>
      </c>
      <c r="M434" t="inlineStr">
        <is>
          <t>CANONICAL: Clasen-Boger A-D, c/c*_KM (KM=5), h*K=0.03</t>
        </is>
      </c>
    </row>
    <row r="435">
      <c r="A435" t="b">
        <v>1</v>
      </c>
      <c r="B435" t="n">
        <v>434</v>
      </c>
      <c r="C435" t="inlineStr">
        <is>
          <t>D4</t>
        </is>
      </c>
      <c r="D435" t="inlineStr">
        <is>
          <t>styext</t>
        </is>
      </c>
      <c r="E435" t="n">
        <v>8086</v>
      </c>
      <c r="F435" t="n">
        <v>0.03</v>
      </c>
      <c r="G435" t="inlineStr">
        <is>
          <t>fenepm</t>
        </is>
      </c>
      <c r="H435" t="inlineStr">
        <is>
          <t>c2d2</t>
        </is>
      </c>
      <c r="I435" t="n">
        <v>0.435775</v>
      </c>
      <c r="J435" t="n">
        <v>1</v>
      </c>
      <c r="K435" t="inlineStr">
        <is>
          <t>clasen_boger_km</t>
        </is>
      </c>
      <c r="L435" t="inlineStr">
        <is>
          <t>julia/experiments/tnwpaper/outputs/exptl_comparison</t>
        </is>
      </c>
      <c r="M435" t="inlineStr">
        <is>
          <t>CANONICAL: Clasen-Boger A-D, c/c*_KM (KM=5), h*K=0.03</t>
        </is>
      </c>
    </row>
    <row r="436">
      <c r="A436" t="b">
        <v>1</v>
      </c>
      <c r="B436" t="n">
        <v>435</v>
      </c>
      <c r="C436" t="inlineStr">
        <is>
          <t>D4</t>
        </is>
      </c>
      <c r="D436" t="inlineStr">
        <is>
          <t>caber</t>
        </is>
      </c>
      <c r="E436" t="n">
        <v>8086</v>
      </c>
      <c r="F436" t="n">
        <v>0.03</v>
      </c>
      <c r="G436" t="inlineStr">
        <is>
          <t>fenepm</t>
        </is>
      </c>
      <c r="H436" t="inlineStr">
        <is>
          <t>constant</t>
        </is>
      </c>
      <c r="I436" t="n">
        <v>0.435775</v>
      </c>
      <c r="J436" t="inlineStr">
        <is>
          <t>[0.01, 0.03, 0.1, 0.3, 1, 3, 10, 30, 100]</t>
        </is>
      </c>
      <c r="K436" t="inlineStr">
        <is>
          <t>clasen_boger_km</t>
        </is>
      </c>
      <c r="L436" t="inlineStr">
        <is>
          <t>julia/experiments/tnwpaper/outputs/exptl_comparison</t>
        </is>
      </c>
      <c r="M436" t="inlineStr">
        <is>
          <t>CANONICAL: Clasen-Boger A-D, c/c*_KM (KM=5), h*K=0.03</t>
        </is>
      </c>
    </row>
    <row r="437">
      <c r="A437" t="b">
        <v>1</v>
      </c>
      <c r="B437" t="n">
        <v>436</v>
      </c>
      <c r="C437" t="inlineStr">
        <is>
          <t>D4</t>
        </is>
      </c>
      <c r="D437" t="inlineStr">
        <is>
          <t>caber</t>
        </is>
      </c>
      <c r="E437" t="n">
        <v>8086</v>
      </c>
      <c r="F437" t="n">
        <v>0.03</v>
      </c>
      <c r="G437" t="inlineStr">
        <is>
          <t>fenepm</t>
        </is>
      </c>
      <c r="H437" t="inlineStr">
        <is>
          <t>c2d2</t>
        </is>
      </c>
      <c r="I437" t="n">
        <v>0.435775</v>
      </c>
      <c r="J437" t="inlineStr">
        <is>
          <t>[0.01, 0.03, 0.1, 0.3, 1, 3, 10, 30, 100]</t>
        </is>
      </c>
      <c r="K437" t="inlineStr">
        <is>
          <t>clasen_boger_km</t>
        </is>
      </c>
      <c r="L437" t="inlineStr">
        <is>
          <t>julia/experiments/tnwpaper/outputs/exptl_comparison</t>
        </is>
      </c>
      <c r="M437" t="inlineStr">
        <is>
          <t>CANONICAL: Clasen-Boger A-D, c/c*_KM (KM=5), h*K=0.03</t>
        </is>
      </c>
    </row>
    <row r="438">
      <c r="A438" t="b">
        <v>1</v>
      </c>
      <c r="B438" t="n">
        <v>437</v>
      </c>
      <c r="C438" t="inlineStr">
        <is>
          <t>D5</t>
        </is>
      </c>
      <c r="D438" t="inlineStr">
        <is>
          <t>styext</t>
        </is>
      </c>
      <c r="E438" t="n">
        <v>8086</v>
      </c>
      <c r="F438" t="n">
        <v>0.03</v>
      </c>
      <c r="G438" t="inlineStr">
        <is>
          <t>fenepm</t>
        </is>
      </c>
      <c r="H438" t="inlineStr">
        <is>
          <t>constant</t>
        </is>
      </c>
      <c r="I438" t="n">
        <v>1.307324</v>
      </c>
      <c r="J438" t="n">
        <v>1</v>
      </c>
      <c r="K438" t="inlineStr">
        <is>
          <t>clasen_boger_km</t>
        </is>
      </c>
      <c r="L438" t="inlineStr">
        <is>
          <t>julia/experiments/tnwpaper/outputs/exptl_comparison</t>
        </is>
      </c>
      <c r="M438" t="inlineStr">
        <is>
          <t>CANONICAL: Clasen-Boger A-D, c/c*_KM (KM=5), h*K=0.03</t>
        </is>
      </c>
    </row>
    <row r="439">
      <c r="A439" t="b">
        <v>1</v>
      </c>
      <c r="B439" t="n">
        <v>438</v>
      </c>
      <c r="C439" t="inlineStr">
        <is>
          <t>D5</t>
        </is>
      </c>
      <c r="D439" t="inlineStr">
        <is>
          <t>styext</t>
        </is>
      </c>
      <c r="E439" t="n">
        <v>8086</v>
      </c>
      <c r="F439" t="n">
        <v>0.03</v>
      </c>
      <c r="G439" t="inlineStr">
        <is>
          <t>fenepm</t>
        </is>
      </c>
      <c r="H439" t="inlineStr">
        <is>
          <t>c2d2</t>
        </is>
      </c>
      <c r="I439" t="n">
        <v>1.307324</v>
      </c>
      <c r="J439" t="n">
        <v>1</v>
      </c>
      <c r="K439" t="inlineStr">
        <is>
          <t>clasen_boger_km</t>
        </is>
      </c>
      <c r="L439" t="inlineStr">
        <is>
          <t>julia/experiments/tnwpaper/outputs/exptl_comparison</t>
        </is>
      </c>
      <c r="M439" t="inlineStr">
        <is>
          <t>CANONICAL: Clasen-Boger A-D, c/c*_KM (KM=5), h*K=0.03</t>
        </is>
      </c>
    </row>
    <row r="440">
      <c r="A440" t="b">
        <v>1</v>
      </c>
      <c r="B440" t="n">
        <v>439</v>
      </c>
      <c r="C440" t="inlineStr">
        <is>
          <t>D5</t>
        </is>
      </c>
      <c r="D440" t="inlineStr">
        <is>
          <t>caber</t>
        </is>
      </c>
      <c r="E440" t="n">
        <v>8086</v>
      </c>
      <c r="F440" t="n">
        <v>0.03</v>
      </c>
      <c r="G440" t="inlineStr">
        <is>
          <t>fenepm</t>
        </is>
      </c>
      <c r="H440" t="inlineStr">
        <is>
          <t>constant</t>
        </is>
      </c>
      <c r="I440" t="n">
        <v>1.307324</v>
      </c>
      <c r="J440" t="inlineStr">
        <is>
          <t>[0.01, 0.03, 0.1, 0.3, 1, 3, 10, 30, 100]</t>
        </is>
      </c>
      <c r="K440" t="inlineStr">
        <is>
          <t>clasen_boger_km</t>
        </is>
      </c>
      <c r="L440" t="inlineStr">
        <is>
          <t>julia/experiments/tnwpaper/outputs/exptl_comparison</t>
        </is>
      </c>
      <c r="M440" t="inlineStr">
        <is>
          <t>CANONICAL: Clasen-Boger A-D, c/c*_KM (KM=5), h*K=0.03</t>
        </is>
      </c>
    </row>
    <row r="441">
      <c r="A441" t="b">
        <v>1</v>
      </c>
      <c r="B441" t="n">
        <v>440</v>
      </c>
      <c r="C441" t="inlineStr">
        <is>
          <t>D5</t>
        </is>
      </c>
      <c r="D441" t="inlineStr">
        <is>
          <t>caber</t>
        </is>
      </c>
      <c r="E441" t="n">
        <v>8086</v>
      </c>
      <c r="F441" t="n">
        <v>0.03</v>
      </c>
      <c r="G441" t="inlineStr">
        <is>
          <t>fenepm</t>
        </is>
      </c>
      <c r="H441" t="inlineStr">
        <is>
          <t>c2d2</t>
        </is>
      </c>
      <c r="I441" t="n">
        <v>1.307324</v>
      </c>
      <c r="J441" t="inlineStr">
        <is>
          <t>[0.01, 0.03, 0.1, 0.3, 1, 3, 10, 30, 100]</t>
        </is>
      </c>
      <c r="K441" t="inlineStr">
        <is>
          <t>clasen_boger_km</t>
        </is>
      </c>
      <c r="L441" t="inlineStr">
        <is>
          <t>julia/experiments/tnwpaper/outputs/exptl_comparison</t>
        </is>
      </c>
      <c r="M441" t="inlineStr">
        <is>
          <t>CANONICAL: Clasen-Boger A-D, c/c*_KM (KM=5), h*K=0.03</t>
        </is>
      </c>
    </row>
    <row r="442">
      <c r="A442" t="b">
        <v>1</v>
      </c>
      <c r="B442" t="n">
        <v>441</v>
      </c>
      <c r="C442" t="inlineStr">
        <is>
          <t>X1</t>
        </is>
      </c>
      <c r="D442" t="inlineStr">
        <is>
          <t>styext</t>
        </is>
      </c>
      <c r="E442" t="n">
        <v>11186</v>
      </c>
      <c r="F442" t="n">
        <v>0.015</v>
      </c>
      <c r="G442" t="inlineStr">
        <is>
          <t>fenepm</t>
        </is>
      </c>
      <c r="H442" t="inlineStr">
        <is>
          <t>constant</t>
        </is>
      </c>
      <c r="I442" t="n">
        <v>0.063926</v>
      </c>
      <c r="J442" t="n">
        <v>1</v>
      </c>
      <c r="K442" t="inlineStr">
        <is>
          <t>clasen_dep_km</t>
        </is>
      </c>
      <c r="L442" t="inlineStr">
        <is>
          <t>julia/experiments/tnwpaper/outputs/exptl_comparison</t>
        </is>
      </c>
      <c r="M442" t="inlineStr">
        <is>
          <t>CANONICAL: Clasen-DEP X,Y, c/c*_KM (KM=0.35), h*K=0.015</t>
        </is>
      </c>
    </row>
    <row r="443">
      <c r="A443" t="b">
        <v>1</v>
      </c>
      <c r="B443" t="n">
        <v>442</v>
      </c>
      <c r="C443" t="inlineStr">
        <is>
          <t>X1</t>
        </is>
      </c>
      <c r="D443" t="inlineStr">
        <is>
          <t>styext</t>
        </is>
      </c>
      <c r="E443" t="n">
        <v>11186</v>
      </c>
      <c r="F443" t="n">
        <v>0.015</v>
      </c>
      <c r="G443" t="inlineStr">
        <is>
          <t>fenepm</t>
        </is>
      </c>
      <c r="H443" t="inlineStr">
        <is>
          <t>c2d2</t>
        </is>
      </c>
      <c r="I443" t="n">
        <v>0.063926</v>
      </c>
      <c r="J443" t="n">
        <v>1</v>
      </c>
      <c r="K443" t="inlineStr">
        <is>
          <t>clasen_dep_km</t>
        </is>
      </c>
      <c r="L443" t="inlineStr">
        <is>
          <t>julia/experiments/tnwpaper/outputs/exptl_comparison</t>
        </is>
      </c>
      <c r="M443" t="inlineStr">
        <is>
          <t>CANONICAL: Clasen-DEP X,Y, c/c*_KM (KM=0.35), h*K=0.015</t>
        </is>
      </c>
    </row>
    <row r="444">
      <c r="A444" t="b">
        <v>1</v>
      </c>
      <c r="B444" t="n">
        <v>443</v>
      </c>
      <c r="C444" t="inlineStr">
        <is>
          <t>X1</t>
        </is>
      </c>
      <c r="D444" t="inlineStr">
        <is>
          <t>caber</t>
        </is>
      </c>
      <c r="E444" t="n">
        <v>11186</v>
      </c>
      <c r="F444" t="n">
        <v>0.015</v>
      </c>
      <c r="G444" t="inlineStr">
        <is>
          <t>fenepm</t>
        </is>
      </c>
      <c r="H444" t="inlineStr">
        <is>
          <t>constant</t>
        </is>
      </c>
      <c r="I444" t="n">
        <v>0.063926</v>
      </c>
      <c r="J444" t="inlineStr">
        <is>
          <t>[0.01, 0.03, 0.1, 0.3, 1, 3, 10, 30, 100]</t>
        </is>
      </c>
      <c r="K444" t="inlineStr">
        <is>
          <t>clasen_dep_km</t>
        </is>
      </c>
      <c r="L444" t="inlineStr">
        <is>
          <t>julia/experiments/tnwpaper/outputs/exptl_comparison</t>
        </is>
      </c>
      <c r="M444" t="inlineStr">
        <is>
          <t>CANONICAL: Clasen-DEP X,Y, c/c*_KM (KM=0.35), h*K=0.015</t>
        </is>
      </c>
    </row>
    <row r="445">
      <c r="A445" t="b">
        <v>1</v>
      </c>
      <c r="B445" t="n">
        <v>444</v>
      </c>
      <c r="C445" t="inlineStr">
        <is>
          <t>X1</t>
        </is>
      </c>
      <c r="D445" t="inlineStr">
        <is>
          <t>caber</t>
        </is>
      </c>
      <c r="E445" t="n">
        <v>11186</v>
      </c>
      <c r="F445" t="n">
        <v>0.015</v>
      </c>
      <c r="G445" t="inlineStr">
        <is>
          <t>fenepm</t>
        </is>
      </c>
      <c r="H445" t="inlineStr">
        <is>
          <t>c2d2</t>
        </is>
      </c>
      <c r="I445" t="n">
        <v>0.063926</v>
      </c>
      <c r="J445" t="inlineStr">
        <is>
          <t>[0.01, 0.03, 0.1, 0.3, 1, 3, 10, 30, 100]</t>
        </is>
      </c>
      <c r="K445" t="inlineStr">
        <is>
          <t>clasen_dep_km</t>
        </is>
      </c>
      <c r="L445" t="inlineStr">
        <is>
          <t>julia/experiments/tnwpaper/outputs/exptl_comparison</t>
        </is>
      </c>
      <c r="M445" t="inlineStr">
        <is>
          <t>CANONICAL: Clasen-DEP X,Y, c/c*_KM (KM=0.35), h*K=0.015</t>
        </is>
      </c>
    </row>
    <row r="446">
      <c r="A446" t="b">
        <v>1</v>
      </c>
      <c r="B446" t="n">
        <v>445</v>
      </c>
      <c r="C446" t="inlineStr">
        <is>
          <t>X2</t>
        </is>
      </c>
      <c r="D446" t="inlineStr">
        <is>
          <t>styext</t>
        </is>
      </c>
      <c r="E446" t="n">
        <v>11186</v>
      </c>
      <c r="F446" t="n">
        <v>0.015</v>
      </c>
      <c r="G446" t="inlineStr">
        <is>
          <t>fenepm</t>
        </is>
      </c>
      <c r="H446" t="inlineStr">
        <is>
          <t>constant</t>
        </is>
      </c>
      <c r="I446" t="n">
        <v>0.202007</v>
      </c>
      <c r="J446" t="n">
        <v>1</v>
      </c>
      <c r="K446" t="inlineStr">
        <is>
          <t>clasen_dep_km</t>
        </is>
      </c>
      <c r="L446" t="inlineStr">
        <is>
          <t>julia/experiments/tnwpaper/outputs/exptl_comparison</t>
        </is>
      </c>
      <c r="M446" t="inlineStr">
        <is>
          <t>CANONICAL: Clasen-DEP X,Y, c/c*_KM (KM=0.35), h*K=0.015</t>
        </is>
      </c>
    </row>
    <row r="447">
      <c r="A447" t="b">
        <v>1</v>
      </c>
      <c r="B447" t="n">
        <v>446</v>
      </c>
      <c r="C447" t="inlineStr">
        <is>
          <t>X2</t>
        </is>
      </c>
      <c r="D447" t="inlineStr">
        <is>
          <t>styext</t>
        </is>
      </c>
      <c r="E447" t="n">
        <v>11186</v>
      </c>
      <c r="F447" t="n">
        <v>0.015</v>
      </c>
      <c r="G447" t="inlineStr">
        <is>
          <t>fenepm</t>
        </is>
      </c>
      <c r="H447" t="inlineStr">
        <is>
          <t>c2d2</t>
        </is>
      </c>
      <c r="I447" t="n">
        <v>0.202007</v>
      </c>
      <c r="J447" t="n">
        <v>1</v>
      </c>
      <c r="K447" t="inlineStr">
        <is>
          <t>clasen_dep_km</t>
        </is>
      </c>
      <c r="L447" t="inlineStr">
        <is>
          <t>julia/experiments/tnwpaper/outputs/exptl_comparison</t>
        </is>
      </c>
      <c r="M447" t="inlineStr">
        <is>
          <t>CANONICAL: Clasen-DEP X,Y, c/c*_KM (KM=0.35), h*K=0.015</t>
        </is>
      </c>
    </row>
    <row r="448">
      <c r="A448" t="b">
        <v>1</v>
      </c>
      <c r="B448" t="n">
        <v>447</v>
      </c>
      <c r="C448" t="inlineStr">
        <is>
          <t>X2</t>
        </is>
      </c>
      <c r="D448" t="inlineStr">
        <is>
          <t>caber</t>
        </is>
      </c>
      <c r="E448" t="n">
        <v>11186</v>
      </c>
      <c r="F448" t="n">
        <v>0.015</v>
      </c>
      <c r="G448" t="inlineStr">
        <is>
          <t>fenepm</t>
        </is>
      </c>
      <c r="H448" t="inlineStr">
        <is>
          <t>constant</t>
        </is>
      </c>
      <c r="I448" t="n">
        <v>0.202007</v>
      </c>
      <c r="J448" t="inlineStr">
        <is>
          <t>[0.01, 0.03, 0.1, 0.3, 1, 3, 10, 30, 100]</t>
        </is>
      </c>
      <c r="K448" t="inlineStr">
        <is>
          <t>clasen_dep_km</t>
        </is>
      </c>
      <c r="L448" t="inlineStr">
        <is>
          <t>julia/experiments/tnwpaper/outputs/exptl_comparison</t>
        </is>
      </c>
      <c r="M448" t="inlineStr">
        <is>
          <t>CANONICAL: Clasen-DEP X,Y, c/c*_KM (KM=0.35), h*K=0.015</t>
        </is>
      </c>
    </row>
    <row r="449">
      <c r="A449" t="b">
        <v>1</v>
      </c>
      <c r="B449" t="n">
        <v>448</v>
      </c>
      <c r="C449" t="inlineStr">
        <is>
          <t>X2</t>
        </is>
      </c>
      <c r="D449" t="inlineStr">
        <is>
          <t>caber</t>
        </is>
      </c>
      <c r="E449" t="n">
        <v>11186</v>
      </c>
      <c r="F449" t="n">
        <v>0.015</v>
      </c>
      <c r="G449" t="inlineStr">
        <is>
          <t>fenepm</t>
        </is>
      </c>
      <c r="H449" t="inlineStr">
        <is>
          <t>c2d2</t>
        </is>
      </c>
      <c r="I449" t="n">
        <v>0.202007</v>
      </c>
      <c r="J449" t="inlineStr">
        <is>
          <t>[0.01, 0.03, 0.1, 0.3, 1, 3, 10, 30, 100]</t>
        </is>
      </c>
      <c r="K449" t="inlineStr">
        <is>
          <t>clasen_dep_km</t>
        </is>
      </c>
      <c r="L449" t="inlineStr">
        <is>
          <t>julia/experiments/tnwpaper/outputs/exptl_comparison</t>
        </is>
      </c>
      <c r="M449" t="inlineStr">
        <is>
          <t>CANONICAL: Clasen-DEP X,Y, c/c*_KM (KM=0.35), h*K=0.015</t>
        </is>
      </c>
    </row>
    <row r="450">
      <c r="A450" t="b">
        <v>1</v>
      </c>
      <c r="B450" t="n">
        <v>449</v>
      </c>
      <c r="C450" t="inlineStr">
        <is>
          <t>X3</t>
        </is>
      </c>
      <c r="D450" t="inlineStr">
        <is>
          <t>styext</t>
        </is>
      </c>
      <c r="E450" t="n">
        <v>11186</v>
      </c>
      <c r="F450" t="n">
        <v>0.015</v>
      </c>
      <c r="G450" t="inlineStr">
        <is>
          <t>fenepm</t>
        </is>
      </c>
      <c r="H450" t="inlineStr">
        <is>
          <t>constant</t>
        </is>
      </c>
      <c r="I450" t="n">
        <v>0.639262</v>
      </c>
      <c r="J450" t="n">
        <v>1</v>
      </c>
      <c r="K450" t="inlineStr">
        <is>
          <t>clasen_dep_km</t>
        </is>
      </c>
      <c r="L450" t="inlineStr">
        <is>
          <t>julia/experiments/tnwpaper/outputs/exptl_comparison</t>
        </is>
      </c>
      <c r="M450" t="inlineStr">
        <is>
          <t>CANONICAL: Clasen-DEP X,Y, c/c*_KM (KM=0.35), h*K=0.015</t>
        </is>
      </c>
    </row>
    <row r="451">
      <c r="A451" t="b">
        <v>1</v>
      </c>
      <c r="B451" t="n">
        <v>450</v>
      </c>
      <c r="C451" t="inlineStr">
        <is>
          <t>X3</t>
        </is>
      </c>
      <c r="D451" t="inlineStr">
        <is>
          <t>styext</t>
        </is>
      </c>
      <c r="E451" t="n">
        <v>11186</v>
      </c>
      <c r="F451" t="n">
        <v>0.015</v>
      </c>
      <c r="G451" t="inlineStr">
        <is>
          <t>fenepm</t>
        </is>
      </c>
      <c r="H451" t="inlineStr">
        <is>
          <t>c2d2</t>
        </is>
      </c>
      <c r="I451" t="n">
        <v>0.639262</v>
      </c>
      <c r="J451" t="n">
        <v>1</v>
      </c>
      <c r="K451" t="inlineStr">
        <is>
          <t>clasen_dep_km</t>
        </is>
      </c>
      <c r="L451" t="inlineStr">
        <is>
          <t>julia/experiments/tnwpaper/outputs/exptl_comparison</t>
        </is>
      </c>
      <c r="M451" t="inlineStr">
        <is>
          <t>CANONICAL: Clasen-DEP X,Y, c/c*_KM (KM=0.35), h*K=0.015</t>
        </is>
      </c>
    </row>
    <row r="452">
      <c r="A452" t="b">
        <v>1</v>
      </c>
      <c r="B452" t="n">
        <v>451</v>
      </c>
      <c r="C452" t="inlineStr">
        <is>
          <t>X3</t>
        </is>
      </c>
      <c r="D452" t="inlineStr">
        <is>
          <t>caber</t>
        </is>
      </c>
      <c r="E452" t="n">
        <v>11186</v>
      </c>
      <c r="F452" t="n">
        <v>0.015</v>
      </c>
      <c r="G452" t="inlineStr">
        <is>
          <t>fenepm</t>
        </is>
      </c>
      <c r="H452" t="inlineStr">
        <is>
          <t>constant</t>
        </is>
      </c>
      <c r="I452" t="n">
        <v>0.639262</v>
      </c>
      <c r="J452" t="inlineStr">
        <is>
          <t>[0.01, 0.03, 0.1, 0.3, 1, 3, 10, 30, 100]</t>
        </is>
      </c>
      <c r="K452" t="inlineStr">
        <is>
          <t>clasen_dep_km</t>
        </is>
      </c>
      <c r="L452" t="inlineStr">
        <is>
          <t>julia/experiments/tnwpaper/outputs/exptl_comparison</t>
        </is>
      </c>
      <c r="M452" t="inlineStr">
        <is>
          <t>CANONICAL: Clasen-DEP X,Y, c/c*_KM (KM=0.35), h*K=0.015</t>
        </is>
      </c>
    </row>
    <row r="453">
      <c r="A453" t="b">
        <v>1</v>
      </c>
      <c r="B453" t="n">
        <v>452</v>
      </c>
      <c r="C453" t="inlineStr">
        <is>
          <t>X3</t>
        </is>
      </c>
      <c r="D453" t="inlineStr">
        <is>
          <t>caber</t>
        </is>
      </c>
      <c r="E453" t="n">
        <v>11186</v>
      </c>
      <c r="F453" t="n">
        <v>0.015</v>
      </c>
      <c r="G453" t="inlineStr">
        <is>
          <t>fenepm</t>
        </is>
      </c>
      <c r="H453" t="inlineStr">
        <is>
          <t>c2d2</t>
        </is>
      </c>
      <c r="I453" t="n">
        <v>0.639262</v>
      </c>
      <c r="J453" t="inlineStr">
        <is>
          <t>[0.01, 0.03, 0.1, 0.3, 1, 3, 10, 30, 100]</t>
        </is>
      </c>
      <c r="K453" t="inlineStr">
        <is>
          <t>clasen_dep_km</t>
        </is>
      </c>
      <c r="L453" t="inlineStr">
        <is>
          <t>julia/experiments/tnwpaper/outputs/exptl_comparison</t>
        </is>
      </c>
      <c r="M453" t="inlineStr">
        <is>
          <t>CANONICAL: Clasen-DEP X,Y, c/c*_KM (KM=0.35), h*K=0.015</t>
        </is>
      </c>
    </row>
    <row r="454">
      <c r="A454" t="b">
        <v>1</v>
      </c>
      <c r="B454" t="n">
        <v>453</v>
      </c>
      <c r="C454" t="inlineStr">
        <is>
          <t>X4</t>
        </is>
      </c>
      <c r="D454" t="inlineStr">
        <is>
          <t>styext</t>
        </is>
      </c>
      <c r="E454" t="n">
        <v>11186</v>
      </c>
      <c r="F454" t="n">
        <v>0.015</v>
      </c>
      <c r="G454" t="inlineStr">
        <is>
          <t>fenepm</t>
        </is>
      </c>
      <c r="H454" t="inlineStr">
        <is>
          <t>constant</t>
        </is>
      </c>
      <c r="I454" t="n">
        <v>2.020068</v>
      </c>
      <c r="J454" t="n">
        <v>1</v>
      </c>
      <c r="K454" t="inlineStr">
        <is>
          <t>clasen_dep_km</t>
        </is>
      </c>
      <c r="L454" t="inlineStr">
        <is>
          <t>julia/experiments/tnwpaper/outputs/exptl_comparison</t>
        </is>
      </c>
      <c r="M454" t="inlineStr">
        <is>
          <t>CANONICAL: Clasen-DEP X,Y, c/c*_KM (KM=0.35), h*K=0.015</t>
        </is>
      </c>
    </row>
    <row r="455">
      <c r="A455" t="b">
        <v>1</v>
      </c>
      <c r="B455" t="n">
        <v>454</v>
      </c>
      <c r="C455" t="inlineStr">
        <is>
          <t>X4</t>
        </is>
      </c>
      <c r="D455" t="inlineStr">
        <is>
          <t>styext</t>
        </is>
      </c>
      <c r="E455" t="n">
        <v>11186</v>
      </c>
      <c r="F455" t="n">
        <v>0.015</v>
      </c>
      <c r="G455" t="inlineStr">
        <is>
          <t>fenepm</t>
        </is>
      </c>
      <c r="H455" t="inlineStr">
        <is>
          <t>c2d2</t>
        </is>
      </c>
      <c r="I455" t="n">
        <v>2.020068</v>
      </c>
      <c r="J455" t="n">
        <v>1</v>
      </c>
      <c r="K455" t="inlineStr">
        <is>
          <t>clasen_dep_km</t>
        </is>
      </c>
      <c r="L455" t="inlineStr">
        <is>
          <t>julia/experiments/tnwpaper/outputs/exptl_comparison</t>
        </is>
      </c>
      <c r="M455" t="inlineStr">
        <is>
          <t>CANONICAL: Clasen-DEP X,Y, c/c*_KM (KM=0.35), h*K=0.015</t>
        </is>
      </c>
    </row>
    <row r="456">
      <c r="A456" t="b">
        <v>1</v>
      </c>
      <c r="B456" t="n">
        <v>455</v>
      </c>
      <c r="C456" t="inlineStr">
        <is>
          <t>X4</t>
        </is>
      </c>
      <c r="D456" t="inlineStr">
        <is>
          <t>caber</t>
        </is>
      </c>
      <c r="E456" t="n">
        <v>11186</v>
      </c>
      <c r="F456" t="n">
        <v>0.015</v>
      </c>
      <c r="G456" t="inlineStr">
        <is>
          <t>fenepm</t>
        </is>
      </c>
      <c r="H456" t="inlineStr">
        <is>
          <t>constant</t>
        </is>
      </c>
      <c r="I456" t="n">
        <v>2.020068</v>
      </c>
      <c r="J456" t="inlineStr">
        <is>
          <t>[0.01, 0.03, 0.1, 0.3, 1, 3, 10, 30, 100]</t>
        </is>
      </c>
      <c r="K456" t="inlineStr">
        <is>
          <t>clasen_dep_km</t>
        </is>
      </c>
      <c r="L456" t="inlineStr">
        <is>
          <t>julia/experiments/tnwpaper/outputs/exptl_comparison</t>
        </is>
      </c>
      <c r="M456" t="inlineStr">
        <is>
          <t>CANONICAL: Clasen-DEP X,Y, c/c*_KM (KM=0.35), h*K=0.015</t>
        </is>
      </c>
    </row>
    <row r="457">
      <c r="A457" t="b">
        <v>1</v>
      </c>
      <c r="B457" t="n">
        <v>456</v>
      </c>
      <c r="C457" t="inlineStr">
        <is>
          <t>X4</t>
        </is>
      </c>
      <c r="D457" t="inlineStr">
        <is>
          <t>caber</t>
        </is>
      </c>
      <c r="E457" t="n">
        <v>11186</v>
      </c>
      <c r="F457" t="n">
        <v>0.015</v>
      </c>
      <c r="G457" t="inlineStr">
        <is>
          <t>fenepm</t>
        </is>
      </c>
      <c r="H457" t="inlineStr">
        <is>
          <t>c2d2</t>
        </is>
      </c>
      <c r="I457" t="n">
        <v>2.020068</v>
      </c>
      <c r="J457" t="inlineStr">
        <is>
          <t>[0.01, 0.03, 0.1, 0.3, 1, 3, 10, 30, 100]</t>
        </is>
      </c>
      <c r="K457" t="inlineStr">
        <is>
          <t>clasen_dep_km</t>
        </is>
      </c>
      <c r="L457" t="inlineStr">
        <is>
          <t>julia/experiments/tnwpaper/outputs/exptl_comparison</t>
        </is>
      </c>
      <c r="M457" t="inlineStr">
        <is>
          <t>CANONICAL: Clasen-DEP X,Y, c/c*_KM (KM=0.35), h*K=0.015</t>
        </is>
      </c>
    </row>
    <row r="458">
      <c r="A458" t="b">
        <v>1</v>
      </c>
      <c r="B458" t="n">
        <v>457</v>
      </c>
      <c r="C458" t="inlineStr">
        <is>
          <t>Y1</t>
        </is>
      </c>
      <c r="D458" t="inlineStr">
        <is>
          <t>styext</t>
        </is>
      </c>
      <c r="E458" t="n">
        <v>7682</v>
      </c>
      <c r="F458" t="n">
        <v>0.015</v>
      </c>
      <c r="G458" t="inlineStr">
        <is>
          <t>fenepm</t>
        </is>
      </c>
      <c r="H458" t="inlineStr">
        <is>
          <t>constant</t>
        </is>
      </c>
      <c r="I458" t="n">
        <v>0.049354</v>
      </c>
      <c r="J458" t="n">
        <v>1</v>
      </c>
      <c r="K458" t="inlineStr">
        <is>
          <t>clasen_dep_km</t>
        </is>
      </c>
      <c r="L458" t="inlineStr">
        <is>
          <t>julia/experiments/tnwpaper/outputs/exptl_comparison</t>
        </is>
      </c>
      <c r="M458" t="inlineStr">
        <is>
          <t>CANONICAL: Clasen-DEP X,Y, c/c*_KM (KM=0.35), h*K=0.015</t>
        </is>
      </c>
    </row>
    <row r="459">
      <c r="A459" t="b">
        <v>1</v>
      </c>
      <c r="B459" t="n">
        <v>458</v>
      </c>
      <c r="C459" t="inlineStr">
        <is>
          <t>Y1</t>
        </is>
      </c>
      <c r="D459" t="inlineStr">
        <is>
          <t>styext</t>
        </is>
      </c>
      <c r="E459" t="n">
        <v>7682</v>
      </c>
      <c r="F459" t="n">
        <v>0.015</v>
      </c>
      <c r="G459" t="inlineStr">
        <is>
          <t>fenepm</t>
        </is>
      </c>
      <c r="H459" t="inlineStr">
        <is>
          <t>c2d2</t>
        </is>
      </c>
      <c r="I459" t="n">
        <v>0.049354</v>
      </c>
      <c r="J459" t="n">
        <v>1</v>
      </c>
      <c r="K459" t="inlineStr">
        <is>
          <t>clasen_dep_km</t>
        </is>
      </c>
      <c r="L459" t="inlineStr">
        <is>
          <t>julia/experiments/tnwpaper/outputs/exptl_comparison</t>
        </is>
      </c>
      <c r="M459" t="inlineStr">
        <is>
          <t>CANONICAL: Clasen-DEP X,Y, c/c*_KM (KM=0.35), h*K=0.015</t>
        </is>
      </c>
    </row>
    <row r="460">
      <c r="A460" t="b">
        <v>1</v>
      </c>
      <c r="B460" t="n">
        <v>459</v>
      </c>
      <c r="C460" t="inlineStr">
        <is>
          <t>Y1</t>
        </is>
      </c>
      <c r="D460" t="inlineStr">
        <is>
          <t>caber</t>
        </is>
      </c>
      <c r="E460" t="n">
        <v>7682</v>
      </c>
      <c r="F460" t="n">
        <v>0.015</v>
      </c>
      <c r="G460" t="inlineStr">
        <is>
          <t>fenepm</t>
        </is>
      </c>
      <c r="H460" t="inlineStr">
        <is>
          <t>constant</t>
        </is>
      </c>
      <c r="I460" t="n">
        <v>0.049354</v>
      </c>
      <c r="J460" t="inlineStr">
        <is>
          <t>[0.01, 0.03, 0.1, 0.3, 1, 3, 10, 30, 100]</t>
        </is>
      </c>
      <c r="K460" t="inlineStr">
        <is>
          <t>clasen_dep_km</t>
        </is>
      </c>
      <c r="L460" t="inlineStr">
        <is>
          <t>julia/experiments/tnwpaper/outputs/exptl_comparison</t>
        </is>
      </c>
      <c r="M460" t="inlineStr">
        <is>
          <t>CANONICAL: Clasen-DEP X,Y, c/c*_KM (KM=0.35), h*K=0.015</t>
        </is>
      </c>
    </row>
    <row r="461">
      <c r="A461" t="b">
        <v>1</v>
      </c>
      <c r="B461" t="n">
        <v>460</v>
      </c>
      <c r="C461" t="inlineStr">
        <is>
          <t>Y1</t>
        </is>
      </c>
      <c r="D461" t="inlineStr">
        <is>
          <t>caber</t>
        </is>
      </c>
      <c r="E461" t="n">
        <v>7682</v>
      </c>
      <c r="F461" t="n">
        <v>0.015</v>
      </c>
      <c r="G461" t="inlineStr">
        <is>
          <t>fenepm</t>
        </is>
      </c>
      <c r="H461" t="inlineStr">
        <is>
          <t>c2d2</t>
        </is>
      </c>
      <c r="I461" t="n">
        <v>0.049354</v>
      </c>
      <c r="J461" t="inlineStr">
        <is>
          <t>[0.01, 0.03, 0.1, 0.3, 1, 3, 10, 30, 100]</t>
        </is>
      </c>
      <c r="K461" t="inlineStr">
        <is>
          <t>clasen_dep_km</t>
        </is>
      </c>
      <c r="L461" t="inlineStr">
        <is>
          <t>julia/experiments/tnwpaper/outputs/exptl_comparison</t>
        </is>
      </c>
      <c r="M461" t="inlineStr">
        <is>
          <t>CANONICAL: Clasen-DEP X,Y, c/c*_KM (KM=0.35), h*K=0.015</t>
        </is>
      </c>
    </row>
    <row r="462">
      <c r="A462" t="b">
        <v>1</v>
      </c>
      <c r="B462" t="n">
        <v>461</v>
      </c>
      <c r="C462" t="inlineStr">
        <is>
          <t>Y2</t>
        </is>
      </c>
      <c r="D462" t="inlineStr">
        <is>
          <t>styext</t>
        </is>
      </c>
      <c r="E462" t="n">
        <v>7682</v>
      </c>
      <c r="F462" t="n">
        <v>0.015</v>
      </c>
      <c r="G462" t="inlineStr">
        <is>
          <t>fenepm</t>
        </is>
      </c>
      <c r="H462" t="inlineStr">
        <is>
          <t>constant</t>
        </is>
      </c>
      <c r="I462" t="n">
        <v>0.155959</v>
      </c>
      <c r="J462" t="n">
        <v>1</v>
      </c>
      <c r="K462" t="inlineStr">
        <is>
          <t>clasen_dep_km</t>
        </is>
      </c>
      <c r="L462" t="inlineStr">
        <is>
          <t>julia/experiments/tnwpaper/outputs/exptl_comparison</t>
        </is>
      </c>
      <c r="M462" t="inlineStr">
        <is>
          <t>CANONICAL: Clasen-DEP X,Y, c/c*_KM (KM=0.35), h*K=0.015</t>
        </is>
      </c>
    </row>
    <row r="463">
      <c r="A463" t="b">
        <v>1</v>
      </c>
      <c r="B463" t="n">
        <v>462</v>
      </c>
      <c r="C463" t="inlineStr">
        <is>
          <t>Y2</t>
        </is>
      </c>
      <c r="D463" t="inlineStr">
        <is>
          <t>styext</t>
        </is>
      </c>
      <c r="E463" t="n">
        <v>7682</v>
      </c>
      <c r="F463" t="n">
        <v>0.015</v>
      </c>
      <c r="G463" t="inlineStr">
        <is>
          <t>fenepm</t>
        </is>
      </c>
      <c r="H463" t="inlineStr">
        <is>
          <t>c2d2</t>
        </is>
      </c>
      <c r="I463" t="n">
        <v>0.155959</v>
      </c>
      <c r="J463" t="n">
        <v>1</v>
      </c>
      <c r="K463" t="inlineStr">
        <is>
          <t>clasen_dep_km</t>
        </is>
      </c>
      <c r="L463" t="inlineStr">
        <is>
          <t>julia/experiments/tnwpaper/outputs/exptl_comparison</t>
        </is>
      </c>
      <c r="M463" t="inlineStr">
        <is>
          <t>CANONICAL: Clasen-DEP X,Y, c/c*_KM (KM=0.35), h*K=0.015</t>
        </is>
      </c>
    </row>
    <row r="464">
      <c r="A464" t="b">
        <v>1</v>
      </c>
      <c r="B464" t="n">
        <v>463</v>
      </c>
      <c r="C464" t="inlineStr">
        <is>
          <t>Y2</t>
        </is>
      </c>
      <c r="D464" t="inlineStr">
        <is>
          <t>caber</t>
        </is>
      </c>
      <c r="E464" t="n">
        <v>7682</v>
      </c>
      <c r="F464" t="n">
        <v>0.015</v>
      </c>
      <c r="G464" t="inlineStr">
        <is>
          <t>fenepm</t>
        </is>
      </c>
      <c r="H464" t="inlineStr">
        <is>
          <t>constant</t>
        </is>
      </c>
      <c r="I464" t="n">
        <v>0.155959</v>
      </c>
      <c r="J464" t="inlineStr">
        <is>
          <t>[0.01, 0.03, 0.1, 0.3, 1, 3, 10, 30, 100]</t>
        </is>
      </c>
      <c r="K464" t="inlineStr">
        <is>
          <t>clasen_dep_km</t>
        </is>
      </c>
      <c r="L464" t="inlineStr">
        <is>
          <t>julia/experiments/tnwpaper/outputs/exptl_comparison</t>
        </is>
      </c>
      <c r="M464" t="inlineStr">
        <is>
          <t>CANONICAL: Clasen-DEP X,Y, c/c*_KM (KM=0.35), h*K=0.015</t>
        </is>
      </c>
    </row>
    <row r="465">
      <c r="A465" t="b">
        <v>1</v>
      </c>
      <c r="B465" t="n">
        <v>464</v>
      </c>
      <c r="C465" t="inlineStr">
        <is>
          <t>Y2</t>
        </is>
      </c>
      <c r="D465" t="inlineStr">
        <is>
          <t>caber</t>
        </is>
      </c>
      <c r="E465" t="n">
        <v>7682</v>
      </c>
      <c r="F465" t="n">
        <v>0.015</v>
      </c>
      <c r="G465" t="inlineStr">
        <is>
          <t>fenepm</t>
        </is>
      </c>
      <c r="H465" t="inlineStr">
        <is>
          <t>c2d2</t>
        </is>
      </c>
      <c r="I465" t="n">
        <v>0.155959</v>
      </c>
      <c r="J465" t="inlineStr">
        <is>
          <t>[0.01, 0.03, 0.1, 0.3, 1, 3, 10, 30, 100]</t>
        </is>
      </c>
      <c r="K465" t="inlineStr">
        <is>
          <t>clasen_dep_km</t>
        </is>
      </c>
      <c r="L465" t="inlineStr">
        <is>
          <t>julia/experiments/tnwpaper/outputs/exptl_comparison</t>
        </is>
      </c>
      <c r="M465" t="inlineStr">
        <is>
          <t>CANONICAL: Clasen-DEP X,Y, c/c*_KM (KM=0.35), h*K=0.015</t>
        </is>
      </c>
    </row>
    <row r="466">
      <c r="A466" t="b">
        <v>1</v>
      </c>
      <c r="B466" t="n">
        <v>465</v>
      </c>
      <c r="C466" t="inlineStr">
        <is>
          <t>Y3</t>
        </is>
      </c>
      <c r="D466" t="inlineStr">
        <is>
          <t>styext</t>
        </is>
      </c>
      <c r="E466" t="n">
        <v>7682</v>
      </c>
      <c r="F466" t="n">
        <v>0.015</v>
      </c>
      <c r="G466" t="inlineStr">
        <is>
          <t>fenepm</t>
        </is>
      </c>
      <c r="H466" t="inlineStr">
        <is>
          <t>constant</t>
        </is>
      </c>
      <c r="I466" t="n">
        <v>0.49354</v>
      </c>
      <c r="J466" t="n">
        <v>1</v>
      </c>
      <c r="K466" t="inlineStr">
        <is>
          <t>clasen_dep_km</t>
        </is>
      </c>
      <c r="L466" t="inlineStr">
        <is>
          <t>julia/experiments/tnwpaper/outputs/exptl_comparison</t>
        </is>
      </c>
      <c r="M466" t="inlineStr">
        <is>
          <t>CANONICAL: Clasen-DEP X,Y, c/c*_KM (KM=0.35), h*K=0.015</t>
        </is>
      </c>
    </row>
    <row r="467">
      <c r="A467" t="b">
        <v>1</v>
      </c>
      <c r="B467" t="n">
        <v>466</v>
      </c>
      <c r="C467" t="inlineStr">
        <is>
          <t>Y3</t>
        </is>
      </c>
      <c r="D467" t="inlineStr">
        <is>
          <t>styext</t>
        </is>
      </c>
      <c r="E467" t="n">
        <v>7682</v>
      </c>
      <c r="F467" t="n">
        <v>0.015</v>
      </c>
      <c r="G467" t="inlineStr">
        <is>
          <t>fenepm</t>
        </is>
      </c>
      <c r="H467" t="inlineStr">
        <is>
          <t>c2d2</t>
        </is>
      </c>
      <c r="I467" t="n">
        <v>0.49354</v>
      </c>
      <c r="J467" t="n">
        <v>1</v>
      </c>
      <c r="K467" t="inlineStr">
        <is>
          <t>clasen_dep_km</t>
        </is>
      </c>
      <c r="L467" t="inlineStr">
        <is>
          <t>julia/experiments/tnwpaper/outputs/exptl_comparison</t>
        </is>
      </c>
      <c r="M467" t="inlineStr">
        <is>
          <t>CANONICAL: Clasen-DEP X,Y, c/c*_KM (KM=0.35), h*K=0.015</t>
        </is>
      </c>
    </row>
    <row r="468">
      <c r="A468" t="b">
        <v>1</v>
      </c>
      <c r="B468" t="n">
        <v>467</v>
      </c>
      <c r="C468" t="inlineStr">
        <is>
          <t>Y3</t>
        </is>
      </c>
      <c r="D468" t="inlineStr">
        <is>
          <t>caber</t>
        </is>
      </c>
      <c r="E468" t="n">
        <v>7682</v>
      </c>
      <c r="F468" t="n">
        <v>0.015</v>
      </c>
      <c r="G468" t="inlineStr">
        <is>
          <t>fenepm</t>
        </is>
      </c>
      <c r="H468" t="inlineStr">
        <is>
          <t>constant</t>
        </is>
      </c>
      <c r="I468" t="n">
        <v>0.49354</v>
      </c>
      <c r="J468" t="inlineStr">
        <is>
          <t>[0.01, 0.03, 0.1, 0.3, 1, 3, 10, 30, 100]</t>
        </is>
      </c>
      <c r="K468" t="inlineStr">
        <is>
          <t>clasen_dep_km</t>
        </is>
      </c>
      <c r="L468" t="inlineStr">
        <is>
          <t>julia/experiments/tnwpaper/outputs/exptl_comparison</t>
        </is>
      </c>
      <c r="M468" t="inlineStr">
        <is>
          <t>CANONICAL: Clasen-DEP X,Y, c/c*_KM (KM=0.35), h*K=0.015</t>
        </is>
      </c>
    </row>
    <row r="469">
      <c r="A469" t="b">
        <v>1</v>
      </c>
      <c r="B469" t="n">
        <v>468</v>
      </c>
      <c r="C469" t="inlineStr">
        <is>
          <t>Y3</t>
        </is>
      </c>
      <c r="D469" t="inlineStr">
        <is>
          <t>caber</t>
        </is>
      </c>
      <c r="E469" t="n">
        <v>7682</v>
      </c>
      <c r="F469" t="n">
        <v>0.015</v>
      </c>
      <c r="G469" t="inlineStr">
        <is>
          <t>fenepm</t>
        </is>
      </c>
      <c r="H469" t="inlineStr">
        <is>
          <t>c2d2</t>
        </is>
      </c>
      <c r="I469" t="n">
        <v>0.49354</v>
      </c>
      <c r="J469" t="inlineStr">
        <is>
          <t>[0.01, 0.03, 0.1, 0.3, 1, 3, 10, 30, 100]</t>
        </is>
      </c>
      <c r="K469" t="inlineStr">
        <is>
          <t>clasen_dep_km</t>
        </is>
      </c>
      <c r="L469" t="inlineStr">
        <is>
          <t>julia/experiments/tnwpaper/outputs/exptl_comparison</t>
        </is>
      </c>
      <c r="M469" t="inlineStr">
        <is>
          <t>CANONICAL: Clasen-DEP X,Y, c/c*_KM (KM=0.35), h*K=0.015</t>
        </is>
      </c>
    </row>
    <row r="470">
      <c r="A470" t="b">
        <v>1</v>
      </c>
      <c r="B470" t="n">
        <v>469</v>
      </c>
      <c r="C470" t="inlineStr">
        <is>
          <t>Y4</t>
        </is>
      </c>
      <c r="D470" t="inlineStr">
        <is>
          <t>styext</t>
        </is>
      </c>
      <c r="E470" t="n">
        <v>7682</v>
      </c>
      <c r="F470" t="n">
        <v>0.015</v>
      </c>
      <c r="G470" t="inlineStr">
        <is>
          <t>fenepm</t>
        </is>
      </c>
      <c r="H470" t="inlineStr">
        <is>
          <t>constant</t>
        </is>
      </c>
      <c r="I470" t="n">
        <v>1.559586</v>
      </c>
      <c r="J470" t="n">
        <v>1</v>
      </c>
      <c r="K470" t="inlineStr">
        <is>
          <t>clasen_dep_km</t>
        </is>
      </c>
      <c r="L470" t="inlineStr">
        <is>
          <t>julia/experiments/tnwpaper/outputs/exptl_comparison</t>
        </is>
      </c>
      <c r="M470" t="inlineStr">
        <is>
          <t>CANONICAL: Clasen-DEP X,Y, c/c*_KM (KM=0.35), h*K=0.015</t>
        </is>
      </c>
    </row>
    <row r="471">
      <c r="A471" t="b">
        <v>1</v>
      </c>
      <c r="B471" t="n">
        <v>470</v>
      </c>
      <c r="C471" t="inlineStr">
        <is>
          <t>Y4</t>
        </is>
      </c>
      <c r="D471" t="inlineStr">
        <is>
          <t>styext</t>
        </is>
      </c>
      <c r="E471" t="n">
        <v>7682</v>
      </c>
      <c r="F471" t="n">
        <v>0.015</v>
      </c>
      <c r="G471" t="inlineStr">
        <is>
          <t>fenepm</t>
        </is>
      </c>
      <c r="H471" t="inlineStr">
        <is>
          <t>c2d2</t>
        </is>
      </c>
      <c r="I471" t="n">
        <v>1.559586</v>
      </c>
      <c r="J471" t="n">
        <v>1</v>
      </c>
      <c r="K471" t="inlineStr">
        <is>
          <t>clasen_dep_km</t>
        </is>
      </c>
      <c r="L471" t="inlineStr">
        <is>
          <t>julia/experiments/tnwpaper/outputs/exptl_comparison</t>
        </is>
      </c>
      <c r="M471" t="inlineStr">
        <is>
          <t>CANONICAL: Clasen-DEP X,Y, c/c*_KM (KM=0.35), h*K=0.015</t>
        </is>
      </c>
    </row>
    <row r="472">
      <c r="A472" t="b">
        <v>1</v>
      </c>
      <c r="B472" t="n">
        <v>471</v>
      </c>
      <c r="C472" t="inlineStr">
        <is>
          <t>Y4</t>
        </is>
      </c>
      <c r="D472" t="inlineStr">
        <is>
          <t>caber</t>
        </is>
      </c>
      <c r="E472" t="n">
        <v>7682</v>
      </c>
      <c r="F472" t="n">
        <v>0.015</v>
      </c>
      <c r="G472" t="inlineStr">
        <is>
          <t>fenepm</t>
        </is>
      </c>
      <c r="H472" t="inlineStr">
        <is>
          <t>constant</t>
        </is>
      </c>
      <c r="I472" t="n">
        <v>1.559586</v>
      </c>
      <c r="J472" t="inlineStr">
        <is>
          <t>[0.01, 0.03, 0.1, 0.3, 1, 3, 10, 30, 100]</t>
        </is>
      </c>
      <c r="K472" t="inlineStr">
        <is>
          <t>clasen_dep_km</t>
        </is>
      </c>
      <c r="L472" t="inlineStr">
        <is>
          <t>julia/experiments/tnwpaper/outputs/exptl_comparison</t>
        </is>
      </c>
      <c r="M472" t="inlineStr">
        <is>
          <t>CANONICAL: Clasen-DEP X,Y, c/c*_KM (KM=0.35), h*K=0.015</t>
        </is>
      </c>
    </row>
    <row r="473">
      <c r="A473" t="b">
        <v>1</v>
      </c>
      <c r="B473" t="n">
        <v>472</v>
      </c>
      <c r="C473" t="inlineStr">
        <is>
          <t>Y4</t>
        </is>
      </c>
      <c r="D473" t="inlineStr">
        <is>
          <t>caber</t>
        </is>
      </c>
      <c r="E473" t="n">
        <v>7682</v>
      </c>
      <c r="F473" t="n">
        <v>0.015</v>
      </c>
      <c r="G473" t="inlineStr">
        <is>
          <t>fenepm</t>
        </is>
      </c>
      <c r="H473" t="inlineStr">
        <is>
          <t>c2d2</t>
        </is>
      </c>
      <c r="I473" t="n">
        <v>1.559586</v>
      </c>
      <c r="J473" t="inlineStr">
        <is>
          <t>[0.01, 0.03, 0.1, 0.3, 1, 3, 10, 30, 100]</t>
        </is>
      </c>
      <c r="K473" t="inlineStr">
        <is>
          <t>clasen_dep_km</t>
        </is>
      </c>
      <c r="L473" t="inlineStr">
        <is>
          <t>julia/experiments/tnwpaper/outputs/exptl_comparison</t>
        </is>
      </c>
      <c r="M473" t="inlineStr">
        <is>
          <t>CANONICAL: Clasen-DEP X,Y, c/c*_KM (KM=0.35), h*K=0.015</t>
        </is>
      </c>
    </row>
    <row r="474">
      <c r="A474" t="b">
        <v>0</v>
      </c>
      <c r="B474" t="n">
        <v>473</v>
      </c>
      <c r="C474" t="inlineStr">
        <is>
          <t>X1</t>
        </is>
      </c>
      <c r="D474" t="inlineStr">
        <is>
          <t>styext</t>
        </is>
      </c>
      <c r="E474" t="n">
        <v>11186</v>
      </c>
      <c r="F474" t="n">
        <v>0.015</v>
      </c>
      <c r="G474" t="inlineStr">
        <is>
          <t>fenepm</t>
        </is>
      </c>
      <c r="H474" t="inlineStr">
        <is>
          <t>constant</t>
        </is>
      </c>
      <c r="I474" t="n">
        <v>0.031645</v>
      </c>
      <c r="J474" t="n">
        <v>1</v>
      </c>
      <c r="K474" t="inlineStr">
        <is>
          <t>clasen_dep_min</t>
        </is>
      </c>
      <c r="L474" t="inlineStr">
        <is>
          <t>julia/experiments/tnwpaper/outputs/exptl_comparison</t>
        </is>
      </c>
      <c r="M474" t="inlineStr">
        <is>
          <t>ABANDONED: min-c* convention (2026-06-22 verdict: keep KM)</t>
        </is>
      </c>
    </row>
    <row r="475">
      <c r="A475" t="b">
        <v>0</v>
      </c>
      <c r="B475" t="n">
        <v>474</v>
      </c>
      <c r="C475" t="inlineStr">
        <is>
          <t>X1</t>
        </is>
      </c>
      <c r="D475" t="inlineStr">
        <is>
          <t>styext</t>
        </is>
      </c>
      <c r="E475" t="n">
        <v>11186</v>
      </c>
      <c r="F475" t="n">
        <v>0.015</v>
      </c>
      <c r="G475" t="inlineStr">
        <is>
          <t>fenepm</t>
        </is>
      </c>
      <c r="H475" t="inlineStr">
        <is>
          <t>c2d2</t>
        </is>
      </c>
      <c r="I475" t="n">
        <v>0.031645</v>
      </c>
      <c r="J475" t="n">
        <v>1</v>
      </c>
      <c r="K475" t="inlineStr">
        <is>
          <t>clasen_dep_min</t>
        </is>
      </c>
      <c r="L475" t="inlineStr">
        <is>
          <t>julia/experiments/tnwpaper/outputs/exptl_comparison</t>
        </is>
      </c>
      <c r="M475" t="inlineStr">
        <is>
          <t>ABANDONED: min-c* convention (2026-06-22 verdict: keep KM)</t>
        </is>
      </c>
    </row>
    <row r="476">
      <c r="A476" t="b">
        <v>0</v>
      </c>
      <c r="B476" t="n">
        <v>475</v>
      </c>
      <c r="C476" t="inlineStr">
        <is>
          <t>X1</t>
        </is>
      </c>
      <c r="D476" t="inlineStr">
        <is>
          <t>caber</t>
        </is>
      </c>
      <c r="E476" t="n">
        <v>11186</v>
      </c>
      <c r="F476" t="n">
        <v>0.015</v>
      </c>
      <c r="G476" t="inlineStr">
        <is>
          <t>fenepm</t>
        </is>
      </c>
      <c r="H476" t="inlineStr">
        <is>
          <t>constant</t>
        </is>
      </c>
      <c r="I476" t="n">
        <v>0.031645</v>
      </c>
      <c r="J476" t="inlineStr">
        <is>
          <t>[0.01, 0.03, 0.1, 0.3, 1, 3, 10, 30, 100]</t>
        </is>
      </c>
      <c r="K476" t="inlineStr">
        <is>
          <t>clasen_dep_min</t>
        </is>
      </c>
      <c r="L476" t="inlineStr">
        <is>
          <t>julia/experiments/tnwpaper/outputs/exptl_comparison</t>
        </is>
      </c>
      <c r="M476" t="inlineStr">
        <is>
          <t>ABANDONED: min-c* convention (2026-06-22 verdict: keep KM)</t>
        </is>
      </c>
    </row>
    <row r="477">
      <c r="A477" t="b">
        <v>0</v>
      </c>
      <c r="B477" t="n">
        <v>476</v>
      </c>
      <c r="C477" t="inlineStr">
        <is>
          <t>X1</t>
        </is>
      </c>
      <c r="D477" t="inlineStr">
        <is>
          <t>caber</t>
        </is>
      </c>
      <c r="E477" t="n">
        <v>11186</v>
      </c>
      <c r="F477" t="n">
        <v>0.015</v>
      </c>
      <c r="G477" t="inlineStr">
        <is>
          <t>fenepm</t>
        </is>
      </c>
      <c r="H477" t="inlineStr">
        <is>
          <t>c2d2</t>
        </is>
      </c>
      <c r="I477" t="n">
        <v>0.031645</v>
      </c>
      <c r="J477" t="inlineStr">
        <is>
          <t>[0.01, 0.03, 0.1, 0.3, 1, 3, 10, 30, 100]</t>
        </is>
      </c>
      <c r="K477" t="inlineStr">
        <is>
          <t>clasen_dep_min</t>
        </is>
      </c>
      <c r="L477" t="inlineStr">
        <is>
          <t>julia/experiments/tnwpaper/outputs/exptl_comparison</t>
        </is>
      </c>
      <c r="M477" t="inlineStr">
        <is>
          <t>ABANDONED: min-c* convention (2026-06-22 verdict: keep KM)</t>
        </is>
      </c>
    </row>
    <row r="478">
      <c r="A478" t="b">
        <v>0</v>
      </c>
      <c r="B478" t="n">
        <v>477</v>
      </c>
      <c r="C478" t="inlineStr">
        <is>
          <t>X2</t>
        </is>
      </c>
      <c r="D478" t="inlineStr">
        <is>
          <t>styext</t>
        </is>
      </c>
      <c r="E478" t="n">
        <v>11186</v>
      </c>
      <c r="F478" t="n">
        <v>0.015</v>
      </c>
      <c r="G478" t="inlineStr">
        <is>
          <t>fenepm</t>
        </is>
      </c>
      <c r="H478" t="inlineStr">
        <is>
          <t>constant</t>
        </is>
      </c>
      <c r="I478" t="n">
        <v>0.1</v>
      </c>
      <c r="J478" t="n">
        <v>1</v>
      </c>
      <c r="K478" t="inlineStr">
        <is>
          <t>clasen_dep_min</t>
        </is>
      </c>
      <c r="L478" t="inlineStr">
        <is>
          <t>julia/experiments/tnwpaper/outputs/exptl_comparison</t>
        </is>
      </c>
      <c r="M478" t="inlineStr">
        <is>
          <t>ABANDONED: min-c* convention (2026-06-22 verdict: keep KM)</t>
        </is>
      </c>
    </row>
    <row r="479">
      <c r="A479" t="b">
        <v>0</v>
      </c>
      <c r="B479" t="n">
        <v>478</v>
      </c>
      <c r="C479" t="inlineStr">
        <is>
          <t>X2</t>
        </is>
      </c>
      <c r="D479" t="inlineStr">
        <is>
          <t>styext</t>
        </is>
      </c>
      <c r="E479" t="n">
        <v>11186</v>
      </c>
      <c r="F479" t="n">
        <v>0.015</v>
      </c>
      <c r="G479" t="inlineStr">
        <is>
          <t>fenepm</t>
        </is>
      </c>
      <c r="H479" t="inlineStr">
        <is>
          <t>c2d2</t>
        </is>
      </c>
      <c r="I479" t="n">
        <v>0.1</v>
      </c>
      <c r="J479" t="n">
        <v>1</v>
      </c>
      <c r="K479" t="inlineStr">
        <is>
          <t>clasen_dep_min</t>
        </is>
      </c>
      <c r="L479" t="inlineStr">
        <is>
          <t>julia/experiments/tnwpaper/outputs/exptl_comparison</t>
        </is>
      </c>
      <c r="M479" t="inlineStr">
        <is>
          <t>ABANDONED: min-c* convention (2026-06-22 verdict: keep KM)</t>
        </is>
      </c>
    </row>
    <row r="480">
      <c r="A480" t="b">
        <v>0</v>
      </c>
      <c r="B480" t="n">
        <v>479</v>
      </c>
      <c r="C480" t="inlineStr">
        <is>
          <t>X2</t>
        </is>
      </c>
      <c r="D480" t="inlineStr">
        <is>
          <t>caber</t>
        </is>
      </c>
      <c r="E480" t="n">
        <v>11186</v>
      </c>
      <c r="F480" t="n">
        <v>0.015</v>
      </c>
      <c r="G480" t="inlineStr">
        <is>
          <t>fenepm</t>
        </is>
      </c>
      <c r="H480" t="inlineStr">
        <is>
          <t>constant</t>
        </is>
      </c>
      <c r="I480" t="n">
        <v>0.1</v>
      </c>
      <c r="J480" t="inlineStr">
        <is>
          <t>[0.01, 0.03, 0.1, 0.3, 1, 3, 10, 30, 100]</t>
        </is>
      </c>
      <c r="K480" t="inlineStr">
        <is>
          <t>clasen_dep_min</t>
        </is>
      </c>
      <c r="L480" t="inlineStr">
        <is>
          <t>julia/experiments/tnwpaper/outputs/exptl_comparison</t>
        </is>
      </c>
      <c r="M480" t="inlineStr">
        <is>
          <t>ABANDONED: min-c* convention (2026-06-22 verdict: keep KM)</t>
        </is>
      </c>
    </row>
    <row r="481">
      <c r="A481" t="b">
        <v>0</v>
      </c>
      <c r="B481" t="n">
        <v>480</v>
      </c>
      <c r="C481" t="inlineStr">
        <is>
          <t>X2</t>
        </is>
      </c>
      <c r="D481" t="inlineStr">
        <is>
          <t>caber</t>
        </is>
      </c>
      <c r="E481" t="n">
        <v>11186</v>
      </c>
      <c r="F481" t="n">
        <v>0.015</v>
      </c>
      <c r="G481" t="inlineStr">
        <is>
          <t>fenepm</t>
        </is>
      </c>
      <c r="H481" t="inlineStr">
        <is>
          <t>c2d2</t>
        </is>
      </c>
      <c r="I481" t="n">
        <v>0.1</v>
      </c>
      <c r="J481" t="inlineStr">
        <is>
          <t>[0.01, 0.03, 0.1, 0.3, 1, 3, 10, 30, 100]</t>
        </is>
      </c>
      <c r="K481" t="inlineStr">
        <is>
          <t>clasen_dep_min</t>
        </is>
      </c>
      <c r="L481" t="inlineStr">
        <is>
          <t>julia/experiments/tnwpaper/outputs/exptl_comparison</t>
        </is>
      </c>
      <c r="M481" t="inlineStr">
        <is>
          <t>ABANDONED: min-c* convention (2026-06-22 verdict: keep KM)</t>
        </is>
      </c>
    </row>
    <row r="482">
      <c r="A482" t="b">
        <v>0</v>
      </c>
      <c r="B482" t="n">
        <v>481</v>
      </c>
      <c r="C482" t="inlineStr">
        <is>
          <t>X3</t>
        </is>
      </c>
      <c r="D482" t="inlineStr">
        <is>
          <t>styext</t>
        </is>
      </c>
      <c r="E482" t="n">
        <v>11186</v>
      </c>
      <c r="F482" t="n">
        <v>0.015</v>
      </c>
      <c r="G482" t="inlineStr">
        <is>
          <t>fenepm</t>
        </is>
      </c>
      <c r="H482" t="inlineStr">
        <is>
          <t>constant</t>
        </is>
      </c>
      <c r="I482" t="n">
        <v>0.316454</v>
      </c>
      <c r="J482" t="n">
        <v>1</v>
      </c>
      <c r="K482" t="inlineStr">
        <is>
          <t>clasen_dep_min</t>
        </is>
      </c>
      <c r="L482" t="inlineStr">
        <is>
          <t>julia/experiments/tnwpaper/outputs/exptl_comparison</t>
        </is>
      </c>
      <c r="M482" t="inlineStr">
        <is>
          <t>ABANDONED: min-c* convention (2026-06-22 verdict: keep KM)</t>
        </is>
      </c>
    </row>
    <row r="483">
      <c r="A483" t="b">
        <v>0</v>
      </c>
      <c r="B483" t="n">
        <v>482</v>
      </c>
      <c r="C483" t="inlineStr">
        <is>
          <t>X3</t>
        </is>
      </c>
      <c r="D483" t="inlineStr">
        <is>
          <t>styext</t>
        </is>
      </c>
      <c r="E483" t="n">
        <v>11186</v>
      </c>
      <c r="F483" t="n">
        <v>0.015</v>
      </c>
      <c r="G483" t="inlineStr">
        <is>
          <t>fenepm</t>
        </is>
      </c>
      <c r="H483" t="inlineStr">
        <is>
          <t>c2d2</t>
        </is>
      </c>
      <c r="I483" t="n">
        <v>0.316454</v>
      </c>
      <c r="J483" t="n">
        <v>1</v>
      </c>
      <c r="K483" t="inlineStr">
        <is>
          <t>clasen_dep_min</t>
        </is>
      </c>
      <c r="L483" t="inlineStr">
        <is>
          <t>julia/experiments/tnwpaper/outputs/exptl_comparison</t>
        </is>
      </c>
      <c r="M483" t="inlineStr">
        <is>
          <t>ABANDONED: min-c* convention (2026-06-22 verdict: keep KM)</t>
        </is>
      </c>
    </row>
    <row r="484">
      <c r="A484" t="b">
        <v>0</v>
      </c>
      <c r="B484" t="n">
        <v>483</v>
      </c>
      <c r="C484" t="inlineStr">
        <is>
          <t>X3</t>
        </is>
      </c>
      <c r="D484" t="inlineStr">
        <is>
          <t>caber</t>
        </is>
      </c>
      <c r="E484" t="n">
        <v>11186</v>
      </c>
      <c r="F484" t="n">
        <v>0.015</v>
      </c>
      <c r="G484" t="inlineStr">
        <is>
          <t>fenepm</t>
        </is>
      </c>
      <c r="H484" t="inlineStr">
        <is>
          <t>constant</t>
        </is>
      </c>
      <c r="I484" t="n">
        <v>0.316454</v>
      </c>
      <c r="J484" t="inlineStr">
        <is>
          <t>[0.01, 0.03, 0.1, 0.3, 1, 3, 10, 30, 100]</t>
        </is>
      </c>
      <c r="K484" t="inlineStr">
        <is>
          <t>clasen_dep_min</t>
        </is>
      </c>
      <c r="L484" t="inlineStr">
        <is>
          <t>julia/experiments/tnwpaper/outputs/exptl_comparison</t>
        </is>
      </c>
      <c r="M484" t="inlineStr">
        <is>
          <t>ABANDONED: min-c* convention (2026-06-22 verdict: keep KM)</t>
        </is>
      </c>
    </row>
    <row r="485">
      <c r="A485" t="b">
        <v>0</v>
      </c>
      <c r="B485" t="n">
        <v>484</v>
      </c>
      <c r="C485" t="inlineStr">
        <is>
          <t>X3</t>
        </is>
      </c>
      <c r="D485" t="inlineStr">
        <is>
          <t>caber</t>
        </is>
      </c>
      <c r="E485" t="n">
        <v>11186</v>
      </c>
      <c r="F485" t="n">
        <v>0.015</v>
      </c>
      <c r="G485" t="inlineStr">
        <is>
          <t>fenepm</t>
        </is>
      </c>
      <c r="H485" t="inlineStr">
        <is>
          <t>c2d2</t>
        </is>
      </c>
      <c r="I485" t="n">
        <v>0.316454</v>
      </c>
      <c r="J485" t="inlineStr">
        <is>
          <t>[0.01, 0.03, 0.1, 0.3, 1, 3, 10, 30, 100]</t>
        </is>
      </c>
      <c r="K485" t="inlineStr">
        <is>
          <t>clasen_dep_min</t>
        </is>
      </c>
      <c r="L485" t="inlineStr">
        <is>
          <t>julia/experiments/tnwpaper/outputs/exptl_comparison</t>
        </is>
      </c>
      <c r="M485" t="inlineStr">
        <is>
          <t>ABANDONED: min-c* convention (2026-06-22 verdict: keep KM)</t>
        </is>
      </c>
    </row>
    <row r="486">
      <c r="A486" t="b">
        <v>0</v>
      </c>
      <c r="B486" t="n">
        <v>485</v>
      </c>
      <c r="C486" t="inlineStr">
        <is>
          <t>X4</t>
        </is>
      </c>
      <c r="D486" t="inlineStr">
        <is>
          <t>styext</t>
        </is>
      </c>
      <c r="E486" t="n">
        <v>11186</v>
      </c>
      <c r="F486" t="n">
        <v>0.015</v>
      </c>
      <c r="G486" t="inlineStr">
        <is>
          <t>fenepm</t>
        </is>
      </c>
      <c r="H486" t="inlineStr">
        <is>
          <t>constant</t>
        </is>
      </c>
      <c r="I486" t="n">
        <v>0.999995</v>
      </c>
      <c r="J486" t="n">
        <v>1</v>
      </c>
      <c r="K486" t="inlineStr">
        <is>
          <t>clasen_dep_min</t>
        </is>
      </c>
      <c r="L486" t="inlineStr">
        <is>
          <t>julia/experiments/tnwpaper/outputs/exptl_comparison</t>
        </is>
      </c>
      <c r="M486" t="inlineStr">
        <is>
          <t>ABANDONED: min-c* convention (2026-06-22 verdict: keep KM)</t>
        </is>
      </c>
    </row>
    <row r="487">
      <c r="A487" t="b">
        <v>0</v>
      </c>
      <c r="B487" t="n">
        <v>486</v>
      </c>
      <c r="C487" t="inlineStr">
        <is>
          <t>X4</t>
        </is>
      </c>
      <c r="D487" t="inlineStr">
        <is>
          <t>styext</t>
        </is>
      </c>
      <c r="E487" t="n">
        <v>11186</v>
      </c>
      <c r="F487" t="n">
        <v>0.015</v>
      </c>
      <c r="G487" t="inlineStr">
        <is>
          <t>fenepm</t>
        </is>
      </c>
      <c r="H487" t="inlineStr">
        <is>
          <t>c2d2</t>
        </is>
      </c>
      <c r="I487" t="n">
        <v>0.999995</v>
      </c>
      <c r="J487" t="n">
        <v>1</v>
      </c>
      <c r="K487" t="inlineStr">
        <is>
          <t>clasen_dep_min</t>
        </is>
      </c>
      <c r="L487" t="inlineStr">
        <is>
          <t>julia/experiments/tnwpaper/outputs/exptl_comparison</t>
        </is>
      </c>
      <c r="M487" t="inlineStr">
        <is>
          <t>ABANDONED: min-c* convention (2026-06-22 verdict: keep KM)</t>
        </is>
      </c>
    </row>
    <row r="488">
      <c r="A488" t="b">
        <v>0</v>
      </c>
      <c r="B488" t="n">
        <v>487</v>
      </c>
      <c r="C488" t="inlineStr">
        <is>
          <t>X4</t>
        </is>
      </c>
      <c r="D488" t="inlineStr">
        <is>
          <t>caber</t>
        </is>
      </c>
      <c r="E488" t="n">
        <v>11186</v>
      </c>
      <c r="F488" t="n">
        <v>0.015</v>
      </c>
      <c r="G488" t="inlineStr">
        <is>
          <t>fenepm</t>
        </is>
      </c>
      <c r="H488" t="inlineStr">
        <is>
          <t>constant</t>
        </is>
      </c>
      <c r="I488" t="n">
        <v>0.999995</v>
      </c>
      <c r="J488" t="inlineStr">
        <is>
          <t>[0.01, 0.03, 0.1, 0.3, 1, 3, 10, 30, 100]</t>
        </is>
      </c>
      <c r="K488" t="inlineStr">
        <is>
          <t>clasen_dep_min</t>
        </is>
      </c>
      <c r="L488" t="inlineStr">
        <is>
          <t>julia/experiments/tnwpaper/outputs/exptl_comparison</t>
        </is>
      </c>
      <c r="M488" t="inlineStr">
        <is>
          <t>ABANDONED: min-c* convention (2026-06-22 verdict: keep KM)</t>
        </is>
      </c>
    </row>
    <row r="489">
      <c r="A489" t="b">
        <v>0</v>
      </c>
      <c r="B489" t="n">
        <v>488</v>
      </c>
      <c r="C489" t="inlineStr">
        <is>
          <t>X4</t>
        </is>
      </c>
      <c r="D489" t="inlineStr">
        <is>
          <t>caber</t>
        </is>
      </c>
      <c r="E489" t="n">
        <v>11186</v>
      </c>
      <c r="F489" t="n">
        <v>0.015</v>
      </c>
      <c r="G489" t="inlineStr">
        <is>
          <t>fenepm</t>
        </is>
      </c>
      <c r="H489" t="inlineStr">
        <is>
          <t>c2d2</t>
        </is>
      </c>
      <c r="I489" t="n">
        <v>0.999995</v>
      </c>
      <c r="J489" t="inlineStr">
        <is>
          <t>[0.01, 0.03, 0.1, 0.3, 1, 3, 10, 30, 100]</t>
        </is>
      </c>
      <c r="K489" t="inlineStr">
        <is>
          <t>clasen_dep_min</t>
        </is>
      </c>
      <c r="L489" t="inlineStr">
        <is>
          <t>julia/experiments/tnwpaper/outputs/exptl_comparison</t>
        </is>
      </c>
      <c r="M489" t="inlineStr">
        <is>
          <t>ABANDONED: min-c* convention (2026-06-22 verdict: keep KM)</t>
        </is>
      </c>
    </row>
    <row r="490">
      <c r="A490" t="b">
        <v>0</v>
      </c>
      <c r="B490" t="n">
        <v>489</v>
      </c>
      <c r="C490" t="inlineStr">
        <is>
          <t>Y1</t>
        </is>
      </c>
      <c r="D490" t="inlineStr">
        <is>
          <t>styext</t>
        </is>
      </c>
      <c r="E490" t="n">
        <v>7682</v>
      </c>
      <c r="F490" t="n">
        <v>0.015</v>
      </c>
      <c r="G490" t="inlineStr">
        <is>
          <t>fenepm</t>
        </is>
      </c>
      <c r="H490" t="inlineStr">
        <is>
          <t>constant</t>
        </is>
      </c>
      <c r="I490" t="n">
        <v>0.031645</v>
      </c>
      <c r="J490" t="n">
        <v>1</v>
      </c>
      <c r="K490" t="inlineStr">
        <is>
          <t>clasen_dep_min</t>
        </is>
      </c>
      <c r="L490" t="inlineStr">
        <is>
          <t>julia/experiments/tnwpaper/outputs/exptl_comparison</t>
        </is>
      </c>
      <c r="M490" t="inlineStr">
        <is>
          <t>ABANDONED: min-c* convention (2026-06-22 verdict: keep KM)</t>
        </is>
      </c>
    </row>
    <row r="491">
      <c r="A491" t="b">
        <v>0</v>
      </c>
      <c r="B491" t="n">
        <v>490</v>
      </c>
      <c r="C491" t="inlineStr">
        <is>
          <t>Y1</t>
        </is>
      </c>
      <c r="D491" t="inlineStr">
        <is>
          <t>styext</t>
        </is>
      </c>
      <c r="E491" t="n">
        <v>7682</v>
      </c>
      <c r="F491" t="n">
        <v>0.015</v>
      </c>
      <c r="G491" t="inlineStr">
        <is>
          <t>fenepm</t>
        </is>
      </c>
      <c r="H491" t="inlineStr">
        <is>
          <t>c2d2</t>
        </is>
      </c>
      <c r="I491" t="n">
        <v>0.031645</v>
      </c>
      <c r="J491" t="n">
        <v>1</v>
      </c>
      <c r="K491" t="inlineStr">
        <is>
          <t>clasen_dep_min</t>
        </is>
      </c>
      <c r="L491" t="inlineStr">
        <is>
          <t>julia/experiments/tnwpaper/outputs/exptl_comparison</t>
        </is>
      </c>
      <c r="M491" t="inlineStr">
        <is>
          <t>ABANDONED: min-c* convention (2026-06-22 verdict: keep KM)</t>
        </is>
      </c>
    </row>
    <row r="492">
      <c r="A492" t="b">
        <v>0</v>
      </c>
      <c r="B492" t="n">
        <v>491</v>
      </c>
      <c r="C492" t="inlineStr">
        <is>
          <t>Y1</t>
        </is>
      </c>
      <c r="D492" t="inlineStr">
        <is>
          <t>caber</t>
        </is>
      </c>
      <c r="E492" t="n">
        <v>7682</v>
      </c>
      <c r="F492" t="n">
        <v>0.015</v>
      </c>
      <c r="G492" t="inlineStr">
        <is>
          <t>fenepm</t>
        </is>
      </c>
      <c r="H492" t="inlineStr">
        <is>
          <t>constant</t>
        </is>
      </c>
      <c r="I492" t="n">
        <v>0.031645</v>
      </c>
      <c r="J492" t="inlineStr">
        <is>
          <t>[0.01, 0.03, 0.1, 0.3, 1, 3, 10, 30, 100]</t>
        </is>
      </c>
      <c r="K492" t="inlineStr">
        <is>
          <t>clasen_dep_min</t>
        </is>
      </c>
      <c r="L492" t="inlineStr">
        <is>
          <t>julia/experiments/tnwpaper/outputs/exptl_comparison</t>
        </is>
      </c>
      <c r="M492" t="inlineStr">
        <is>
          <t>ABANDONED: min-c* convention (2026-06-22 verdict: keep KM)</t>
        </is>
      </c>
    </row>
    <row r="493">
      <c r="A493" t="b">
        <v>0</v>
      </c>
      <c r="B493" t="n">
        <v>492</v>
      </c>
      <c r="C493" t="inlineStr">
        <is>
          <t>Y1</t>
        </is>
      </c>
      <c r="D493" t="inlineStr">
        <is>
          <t>caber</t>
        </is>
      </c>
      <c r="E493" t="n">
        <v>7682</v>
      </c>
      <c r="F493" t="n">
        <v>0.015</v>
      </c>
      <c r="G493" t="inlineStr">
        <is>
          <t>fenepm</t>
        </is>
      </c>
      <c r="H493" t="inlineStr">
        <is>
          <t>c2d2</t>
        </is>
      </c>
      <c r="I493" t="n">
        <v>0.031645</v>
      </c>
      <c r="J493" t="inlineStr">
        <is>
          <t>[0.01, 0.03, 0.1, 0.3, 1, 3, 10, 30, 100]</t>
        </is>
      </c>
      <c r="K493" t="inlineStr">
        <is>
          <t>clasen_dep_min</t>
        </is>
      </c>
      <c r="L493" t="inlineStr">
        <is>
          <t>julia/experiments/tnwpaper/outputs/exptl_comparison</t>
        </is>
      </c>
      <c r="M493" t="inlineStr">
        <is>
          <t>ABANDONED: min-c* convention (2026-06-22 verdict: keep KM)</t>
        </is>
      </c>
    </row>
    <row r="494">
      <c r="A494" t="b">
        <v>0</v>
      </c>
      <c r="B494" t="n">
        <v>493</v>
      </c>
      <c r="C494" t="inlineStr">
        <is>
          <t>Y2</t>
        </is>
      </c>
      <c r="D494" t="inlineStr">
        <is>
          <t>styext</t>
        </is>
      </c>
      <c r="E494" t="n">
        <v>7682</v>
      </c>
      <c r="F494" t="n">
        <v>0.015</v>
      </c>
      <c r="G494" t="inlineStr">
        <is>
          <t>fenepm</t>
        </is>
      </c>
      <c r="H494" t="inlineStr">
        <is>
          <t>constant</t>
        </is>
      </c>
      <c r="I494" t="n">
        <v>0.1</v>
      </c>
      <c r="J494" t="n">
        <v>1</v>
      </c>
      <c r="K494" t="inlineStr">
        <is>
          <t>clasen_dep_min</t>
        </is>
      </c>
      <c r="L494" t="inlineStr">
        <is>
          <t>julia/experiments/tnwpaper/outputs/exptl_comparison</t>
        </is>
      </c>
      <c r="M494" t="inlineStr">
        <is>
          <t>ABANDONED: min-c* convention (2026-06-22 verdict: keep KM)</t>
        </is>
      </c>
    </row>
    <row r="495">
      <c r="A495" t="b">
        <v>0</v>
      </c>
      <c r="B495" t="n">
        <v>494</v>
      </c>
      <c r="C495" t="inlineStr">
        <is>
          <t>Y2</t>
        </is>
      </c>
      <c r="D495" t="inlineStr">
        <is>
          <t>styext</t>
        </is>
      </c>
      <c r="E495" t="n">
        <v>7682</v>
      </c>
      <c r="F495" t="n">
        <v>0.015</v>
      </c>
      <c r="G495" t="inlineStr">
        <is>
          <t>fenepm</t>
        </is>
      </c>
      <c r="H495" t="inlineStr">
        <is>
          <t>c2d2</t>
        </is>
      </c>
      <c r="I495" t="n">
        <v>0.1</v>
      </c>
      <c r="J495" t="n">
        <v>1</v>
      </c>
      <c r="K495" t="inlineStr">
        <is>
          <t>clasen_dep_min</t>
        </is>
      </c>
      <c r="L495" t="inlineStr">
        <is>
          <t>julia/experiments/tnwpaper/outputs/exptl_comparison</t>
        </is>
      </c>
      <c r="M495" t="inlineStr">
        <is>
          <t>ABANDONED: min-c* convention (2026-06-22 verdict: keep KM)</t>
        </is>
      </c>
    </row>
    <row r="496">
      <c r="A496" t="b">
        <v>0</v>
      </c>
      <c r="B496" t="n">
        <v>495</v>
      </c>
      <c r="C496" t="inlineStr">
        <is>
          <t>Y2</t>
        </is>
      </c>
      <c r="D496" t="inlineStr">
        <is>
          <t>caber</t>
        </is>
      </c>
      <c r="E496" t="n">
        <v>7682</v>
      </c>
      <c r="F496" t="n">
        <v>0.015</v>
      </c>
      <c r="G496" t="inlineStr">
        <is>
          <t>fenepm</t>
        </is>
      </c>
      <c r="H496" t="inlineStr">
        <is>
          <t>constant</t>
        </is>
      </c>
      <c r="I496" t="n">
        <v>0.1</v>
      </c>
      <c r="J496" t="inlineStr">
        <is>
          <t>[0.01, 0.03, 0.1, 0.3, 1, 3, 10, 30, 100]</t>
        </is>
      </c>
      <c r="K496" t="inlineStr">
        <is>
          <t>clasen_dep_min</t>
        </is>
      </c>
      <c r="L496" t="inlineStr">
        <is>
          <t>julia/experiments/tnwpaper/outputs/exptl_comparison</t>
        </is>
      </c>
      <c r="M496" t="inlineStr">
        <is>
          <t>ABANDONED: min-c* convention (2026-06-22 verdict: keep KM)</t>
        </is>
      </c>
    </row>
    <row r="497">
      <c r="A497" t="b">
        <v>0</v>
      </c>
      <c r="B497" t="n">
        <v>496</v>
      </c>
      <c r="C497" t="inlineStr">
        <is>
          <t>Y2</t>
        </is>
      </c>
      <c r="D497" t="inlineStr">
        <is>
          <t>caber</t>
        </is>
      </c>
      <c r="E497" t="n">
        <v>7682</v>
      </c>
      <c r="F497" t="n">
        <v>0.015</v>
      </c>
      <c r="G497" t="inlineStr">
        <is>
          <t>fenepm</t>
        </is>
      </c>
      <c r="H497" t="inlineStr">
        <is>
          <t>c2d2</t>
        </is>
      </c>
      <c r="I497" t="n">
        <v>0.1</v>
      </c>
      <c r="J497" t="inlineStr">
        <is>
          <t>[0.01, 0.03, 0.1, 0.3, 1, 3, 10, 30, 100]</t>
        </is>
      </c>
      <c r="K497" t="inlineStr">
        <is>
          <t>clasen_dep_min</t>
        </is>
      </c>
      <c r="L497" t="inlineStr">
        <is>
          <t>julia/experiments/tnwpaper/outputs/exptl_comparison</t>
        </is>
      </c>
      <c r="M497" t="inlineStr">
        <is>
          <t>ABANDONED: min-c* convention (2026-06-22 verdict: keep KM)</t>
        </is>
      </c>
    </row>
    <row r="498">
      <c r="A498" t="b">
        <v>0</v>
      </c>
      <c r="B498" t="n">
        <v>497</v>
      </c>
      <c r="C498" t="inlineStr">
        <is>
          <t>Y3</t>
        </is>
      </c>
      <c r="D498" t="inlineStr">
        <is>
          <t>styext</t>
        </is>
      </c>
      <c r="E498" t="n">
        <v>7682</v>
      </c>
      <c r="F498" t="n">
        <v>0.015</v>
      </c>
      <c r="G498" t="inlineStr">
        <is>
          <t>fenepm</t>
        </is>
      </c>
      <c r="H498" t="inlineStr">
        <is>
          <t>constant</t>
        </is>
      </c>
      <c r="I498" t="n">
        <v>0.316454</v>
      </c>
      <c r="J498" t="n">
        <v>1</v>
      </c>
      <c r="K498" t="inlineStr">
        <is>
          <t>clasen_dep_min</t>
        </is>
      </c>
      <c r="L498" t="inlineStr">
        <is>
          <t>julia/experiments/tnwpaper/outputs/exptl_comparison</t>
        </is>
      </c>
      <c r="M498" t="inlineStr">
        <is>
          <t>ABANDONED: min-c* convention (2026-06-22 verdict: keep KM)</t>
        </is>
      </c>
    </row>
    <row r="499">
      <c r="A499" t="b">
        <v>0</v>
      </c>
      <c r="B499" t="n">
        <v>498</v>
      </c>
      <c r="C499" t="inlineStr">
        <is>
          <t>Y3</t>
        </is>
      </c>
      <c r="D499" t="inlineStr">
        <is>
          <t>styext</t>
        </is>
      </c>
      <c r="E499" t="n">
        <v>7682</v>
      </c>
      <c r="F499" t="n">
        <v>0.015</v>
      </c>
      <c r="G499" t="inlineStr">
        <is>
          <t>fenepm</t>
        </is>
      </c>
      <c r="H499" t="inlineStr">
        <is>
          <t>c2d2</t>
        </is>
      </c>
      <c r="I499" t="n">
        <v>0.316454</v>
      </c>
      <c r="J499" t="n">
        <v>1</v>
      </c>
      <c r="K499" t="inlineStr">
        <is>
          <t>clasen_dep_min</t>
        </is>
      </c>
      <c r="L499" t="inlineStr">
        <is>
          <t>julia/experiments/tnwpaper/outputs/exptl_comparison</t>
        </is>
      </c>
      <c r="M499" t="inlineStr">
        <is>
          <t>ABANDONED: min-c* convention (2026-06-22 verdict: keep KM)</t>
        </is>
      </c>
    </row>
    <row r="500">
      <c r="A500" t="b">
        <v>0</v>
      </c>
      <c r="B500" t="n">
        <v>499</v>
      </c>
      <c r="C500" t="inlineStr">
        <is>
          <t>Y3</t>
        </is>
      </c>
      <c r="D500" t="inlineStr">
        <is>
          <t>caber</t>
        </is>
      </c>
      <c r="E500" t="n">
        <v>7682</v>
      </c>
      <c r="F500" t="n">
        <v>0.015</v>
      </c>
      <c r="G500" t="inlineStr">
        <is>
          <t>fenepm</t>
        </is>
      </c>
      <c r="H500" t="inlineStr">
        <is>
          <t>constant</t>
        </is>
      </c>
      <c r="I500" t="n">
        <v>0.316454</v>
      </c>
      <c r="J500" t="inlineStr">
        <is>
          <t>[0.01, 0.03, 0.1, 0.3, 1, 3, 10, 30, 100]</t>
        </is>
      </c>
      <c r="K500" t="inlineStr">
        <is>
          <t>clasen_dep_min</t>
        </is>
      </c>
      <c r="L500" t="inlineStr">
        <is>
          <t>julia/experiments/tnwpaper/outputs/exptl_comparison</t>
        </is>
      </c>
      <c r="M500" t="inlineStr">
        <is>
          <t>ABANDONED: min-c* convention (2026-06-22 verdict: keep KM)</t>
        </is>
      </c>
    </row>
    <row r="501">
      <c r="A501" t="b">
        <v>0</v>
      </c>
      <c r="B501" t="n">
        <v>500</v>
      </c>
      <c r="C501" t="inlineStr">
        <is>
          <t>Y3</t>
        </is>
      </c>
      <c r="D501" t="inlineStr">
        <is>
          <t>caber</t>
        </is>
      </c>
      <c r="E501" t="n">
        <v>7682</v>
      </c>
      <c r="F501" t="n">
        <v>0.015</v>
      </c>
      <c r="G501" t="inlineStr">
        <is>
          <t>fenepm</t>
        </is>
      </c>
      <c r="H501" t="inlineStr">
        <is>
          <t>c2d2</t>
        </is>
      </c>
      <c r="I501" t="n">
        <v>0.316454</v>
      </c>
      <c r="J501" t="inlineStr">
        <is>
          <t>[0.01, 0.03, 0.1, 0.3, 1, 3, 10, 30, 100]</t>
        </is>
      </c>
      <c r="K501" t="inlineStr">
        <is>
          <t>clasen_dep_min</t>
        </is>
      </c>
      <c r="L501" t="inlineStr">
        <is>
          <t>julia/experiments/tnwpaper/outputs/exptl_comparison</t>
        </is>
      </c>
      <c r="M501" t="inlineStr">
        <is>
          <t>ABANDONED: min-c* convention (2026-06-22 verdict: keep KM)</t>
        </is>
      </c>
    </row>
    <row r="502">
      <c r="A502" t="b">
        <v>0</v>
      </c>
      <c r="B502" t="n">
        <v>501</v>
      </c>
      <c r="C502" t="inlineStr">
        <is>
          <t>Y4</t>
        </is>
      </c>
      <c r="D502" t="inlineStr">
        <is>
          <t>styext</t>
        </is>
      </c>
      <c r="E502" t="n">
        <v>7682</v>
      </c>
      <c r="F502" t="n">
        <v>0.015</v>
      </c>
      <c r="G502" t="inlineStr">
        <is>
          <t>fenepm</t>
        </is>
      </c>
      <c r="H502" t="inlineStr">
        <is>
          <t>constant</t>
        </is>
      </c>
      <c r="I502" t="n">
        <v>0.999994</v>
      </c>
      <c r="J502" t="n">
        <v>1</v>
      </c>
      <c r="K502" t="inlineStr">
        <is>
          <t>clasen_dep_min</t>
        </is>
      </c>
      <c r="L502" t="inlineStr">
        <is>
          <t>julia/experiments/tnwpaper/outputs/exptl_comparison</t>
        </is>
      </c>
      <c r="M502" t="inlineStr">
        <is>
          <t>ABANDONED: min-c* convention (2026-06-22 verdict: keep KM)</t>
        </is>
      </c>
    </row>
    <row r="503">
      <c r="A503" t="b">
        <v>0</v>
      </c>
      <c r="B503" t="n">
        <v>502</v>
      </c>
      <c r="C503" t="inlineStr">
        <is>
          <t>Y4</t>
        </is>
      </c>
      <c r="D503" t="inlineStr">
        <is>
          <t>styext</t>
        </is>
      </c>
      <c r="E503" t="n">
        <v>7682</v>
      </c>
      <c r="F503" t="n">
        <v>0.015</v>
      </c>
      <c r="G503" t="inlineStr">
        <is>
          <t>fenepm</t>
        </is>
      </c>
      <c r="H503" t="inlineStr">
        <is>
          <t>c2d2</t>
        </is>
      </c>
      <c r="I503" t="n">
        <v>0.999994</v>
      </c>
      <c r="J503" t="n">
        <v>1</v>
      </c>
      <c r="K503" t="inlineStr">
        <is>
          <t>clasen_dep_min</t>
        </is>
      </c>
      <c r="L503" t="inlineStr">
        <is>
          <t>julia/experiments/tnwpaper/outputs/exptl_comparison</t>
        </is>
      </c>
      <c r="M503" t="inlineStr">
        <is>
          <t>ABANDONED: min-c* convention (2026-06-22 verdict: keep KM)</t>
        </is>
      </c>
    </row>
    <row r="504">
      <c r="A504" t="b">
        <v>0</v>
      </c>
      <c r="B504" t="n">
        <v>503</v>
      </c>
      <c r="C504" t="inlineStr">
        <is>
          <t>Y4</t>
        </is>
      </c>
      <c r="D504" t="inlineStr">
        <is>
          <t>caber</t>
        </is>
      </c>
      <c r="E504" t="n">
        <v>7682</v>
      </c>
      <c r="F504" t="n">
        <v>0.015</v>
      </c>
      <c r="G504" t="inlineStr">
        <is>
          <t>fenepm</t>
        </is>
      </c>
      <c r="H504" t="inlineStr">
        <is>
          <t>constant</t>
        </is>
      </c>
      <c r="I504" t="n">
        <v>0.999994</v>
      </c>
      <c r="J504" t="inlineStr">
        <is>
          <t>[0.01, 0.03, 0.1, 0.3, 1, 3, 10, 30, 100]</t>
        </is>
      </c>
      <c r="K504" t="inlineStr">
        <is>
          <t>clasen_dep_min</t>
        </is>
      </c>
      <c r="L504" t="inlineStr">
        <is>
          <t>julia/experiments/tnwpaper/outputs/exptl_comparison</t>
        </is>
      </c>
      <c r="M504" t="inlineStr">
        <is>
          <t>ABANDONED: min-c* convention (2026-06-22 verdict: keep KM)</t>
        </is>
      </c>
    </row>
    <row r="505">
      <c r="A505" t="b">
        <v>0</v>
      </c>
      <c r="B505" t="n">
        <v>504</v>
      </c>
      <c r="C505" t="inlineStr">
        <is>
          <t>Y4</t>
        </is>
      </c>
      <c r="D505" t="inlineStr">
        <is>
          <t>caber</t>
        </is>
      </c>
      <c r="E505" t="n">
        <v>7682</v>
      </c>
      <c r="F505" t="n">
        <v>0.015</v>
      </c>
      <c r="G505" t="inlineStr">
        <is>
          <t>fenepm</t>
        </is>
      </c>
      <c r="H505" t="inlineStr">
        <is>
          <t>c2d2</t>
        </is>
      </c>
      <c r="I505" t="n">
        <v>0.999994</v>
      </c>
      <c r="J505" t="inlineStr">
        <is>
          <t>[0.01, 0.03, 0.1, 0.3, 1, 3, 10, 30, 100]</t>
        </is>
      </c>
      <c r="K505" t="inlineStr">
        <is>
          <t>clasen_dep_min</t>
        </is>
      </c>
      <c r="L505" t="inlineStr">
        <is>
          <t>julia/experiments/tnwpaper/outputs/exptl_comparison</t>
        </is>
      </c>
      <c r="M505" t="inlineStr">
        <is>
          <t>ABANDONED: min-c* convention (2026-06-22 verdict: keep KM)</t>
        </is>
      </c>
    </row>
    <row r="506">
      <c r="A506" t="b">
        <v>0</v>
      </c>
      <c r="B506" t="n">
        <v>505</v>
      </c>
      <c r="C506" t="inlineStr">
        <is>
          <t>A1</t>
        </is>
      </c>
      <c r="D506" t="inlineStr">
        <is>
          <t>styext</t>
        </is>
      </c>
      <c r="E506" t="n">
        <v>2426</v>
      </c>
      <c r="F506" t="n">
        <v>0.03</v>
      </c>
      <c r="G506" t="inlineStr">
        <is>
          <t>fenepm</t>
        </is>
      </c>
      <c r="H506" t="inlineStr">
        <is>
          <t>constant</t>
        </is>
      </c>
      <c r="I506" t="n">
        <v>0.00101</v>
      </c>
      <c r="J506" t="n">
        <v>1</v>
      </c>
      <c r="K506" t="inlineStr">
        <is>
          <t>clasen_boger_m15</t>
        </is>
      </c>
      <c r="L506" t="inlineStr">
        <is>
          <t>julia/experiments/tnwpaper/outputs/exptl_comparison</t>
        </is>
      </c>
      <c r="M506" t="inlineStr">
        <is>
          <t>ABANDONED: M^-1.5 c* convention (2026-06-22 verdict: keep KM)</t>
        </is>
      </c>
    </row>
    <row r="507">
      <c r="A507" t="b">
        <v>0</v>
      </c>
      <c r="B507" t="n">
        <v>506</v>
      </c>
      <c r="C507" t="inlineStr">
        <is>
          <t>A1</t>
        </is>
      </c>
      <c r="D507" t="inlineStr">
        <is>
          <t>styext</t>
        </is>
      </c>
      <c r="E507" t="n">
        <v>2426</v>
      </c>
      <c r="F507" t="n">
        <v>0.03</v>
      </c>
      <c r="G507" t="inlineStr">
        <is>
          <t>fenepm</t>
        </is>
      </c>
      <c r="H507" t="inlineStr">
        <is>
          <t>c2d2</t>
        </is>
      </c>
      <c r="I507" t="n">
        <v>0.00101</v>
      </c>
      <c r="J507" t="n">
        <v>1</v>
      </c>
      <c r="K507" t="inlineStr">
        <is>
          <t>clasen_boger_m15</t>
        </is>
      </c>
      <c r="L507" t="inlineStr">
        <is>
          <t>julia/experiments/tnwpaper/outputs/exptl_comparison</t>
        </is>
      </c>
      <c r="M507" t="inlineStr">
        <is>
          <t>ABANDONED: M^-1.5 c* convention (2026-06-22 verdict: keep KM)</t>
        </is>
      </c>
    </row>
    <row r="508">
      <c r="A508" t="b">
        <v>0</v>
      </c>
      <c r="B508" t="n">
        <v>507</v>
      </c>
      <c r="C508" t="inlineStr">
        <is>
          <t>A1</t>
        </is>
      </c>
      <c r="D508" t="inlineStr">
        <is>
          <t>caber</t>
        </is>
      </c>
      <c r="E508" t="n">
        <v>2426</v>
      </c>
      <c r="F508" t="n">
        <v>0.03</v>
      </c>
      <c r="G508" t="inlineStr">
        <is>
          <t>fenepm</t>
        </is>
      </c>
      <c r="H508" t="inlineStr">
        <is>
          <t>constant</t>
        </is>
      </c>
      <c r="I508" t="n">
        <v>0.00101</v>
      </c>
      <c r="J508" t="inlineStr">
        <is>
          <t>[0.01, 0.03, 0.1, 0.3, 1, 3, 10, 30, 100]</t>
        </is>
      </c>
      <c r="K508" t="inlineStr">
        <is>
          <t>clasen_boger_m15</t>
        </is>
      </c>
      <c r="L508" t="inlineStr">
        <is>
          <t>julia/experiments/tnwpaper/outputs/exptl_comparison</t>
        </is>
      </c>
      <c r="M508" t="inlineStr">
        <is>
          <t>ABANDONED: M^-1.5 c* convention (2026-06-22 verdict: keep KM)</t>
        </is>
      </c>
    </row>
    <row r="509">
      <c r="A509" t="b">
        <v>0</v>
      </c>
      <c r="B509" t="n">
        <v>508</v>
      </c>
      <c r="C509" t="inlineStr">
        <is>
          <t>A1</t>
        </is>
      </c>
      <c r="D509" t="inlineStr">
        <is>
          <t>caber</t>
        </is>
      </c>
      <c r="E509" t="n">
        <v>2426</v>
      </c>
      <c r="F509" t="n">
        <v>0.03</v>
      </c>
      <c r="G509" t="inlineStr">
        <is>
          <t>fenepm</t>
        </is>
      </c>
      <c r="H509" t="inlineStr">
        <is>
          <t>c2d2</t>
        </is>
      </c>
      <c r="I509" t="n">
        <v>0.00101</v>
      </c>
      <c r="J509" t="inlineStr">
        <is>
          <t>[0.01, 0.03, 0.1, 0.3, 1, 3, 10, 30, 100]</t>
        </is>
      </c>
      <c r="K509" t="inlineStr">
        <is>
          <t>clasen_boger_m15</t>
        </is>
      </c>
      <c r="L509" t="inlineStr">
        <is>
          <t>julia/experiments/tnwpaper/outputs/exptl_comparison</t>
        </is>
      </c>
      <c r="M509" t="inlineStr">
        <is>
          <t>ABANDONED: M^-1.5 c* convention (2026-06-22 verdict: keep KM)</t>
        </is>
      </c>
    </row>
    <row r="510">
      <c r="A510" t="b">
        <v>0</v>
      </c>
      <c r="B510" t="n">
        <v>509</v>
      </c>
      <c r="C510" t="inlineStr">
        <is>
          <t>A2</t>
        </is>
      </c>
      <c r="D510" t="inlineStr">
        <is>
          <t>styext</t>
        </is>
      </c>
      <c r="E510" t="n">
        <v>2426</v>
      </c>
      <c r="F510" t="n">
        <v>0.03</v>
      </c>
      <c r="G510" t="inlineStr">
        <is>
          <t>fenepm</t>
        </is>
      </c>
      <c r="H510" t="inlineStr">
        <is>
          <t>constant</t>
        </is>
      </c>
      <c r="I510" t="n">
        <v>0.00505</v>
      </c>
      <c r="J510" t="n">
        <v>1</v>
      </c>
      <c r="K510" t="inlineStr">
        <is>
          <t>clasen_boger_m15</t>
        </is>
      </c>
      <c r="L510" t="inlineStr">
        <is>
          <t>julia/experiments/tnwpaper/outputs/exptl_comparison</t>
        </is>
      </c>
      <c r="M510" t="inlineStr">
        <is>
          <t>ABANDONED: M^-1.5 c* convention (2026-06-22 verdict: keep KM)</t>
        </is>
      </c>
    </row>
    <row r="511">
      <c r="A511" t="b">
        <v>0</v>
      </c>
      <c r="B511" t="n">
        <v>510</v>
      </c>
      <c r="C511" t="inlineStr">
        <is>
          <t>A2</t>
        </is>
      </c>
      <c r="D511" t="inlineStr">
        <is>
          <t>styext</t>
        </is>
      </c>
      <c r="E511" t="n">
        <v>2426</v>
      </c>
      <c r="F511" t="n">
        <v>0.03</v>
      </c>
      <c r="G511" t="inlineStr">
        <is>
          <t>fenepm</t>
        </is>
      </c>
      <c r="H511" t="inlineStr">
        <is>
          <t>c2d2</t>
        </is>
      </c>
      <c r="I511" t="n">
        <v>0.00505</v>
      </c>
      <c r="J511" t="n">
        <v>1</v>
      </c>
      <c r="K511" t="inlineStr">
        <is>
          <t>clasen_boger_m15</t>
        </is>
      </c>
      <c r="L511" t="inlineStr">
        <is>
          <t>julia/experiments/tnwpaper/outputs/exptl_comparison</t>
        </is>
      </c>
      <c r="M511" t="inlineStr">
        <is>
          <t>ABANDONED: M^-1.5 c* convention (2026-06-22 verdict: keep KM)</t>
        </is>
      </c>
    </row>
    <row r="512">
      <c r="A512" t="b">
        <v>0</v>
      </c>
      <c r="B512" t="n">
        <v>511</v>
      </c>
      <c r="C512" t="inlineStr">
        <is>
          <t>A2</t>
        </is>
      </c>
      <c r="D512" t="inlineStr">
        <is>
          <t>caber</t>
        </is>
      </c>
      <c r="E512" t="n">
        <v>2426</v>
      </c>
      <c r="F512" t="n">
        <v>0.03</v>
      </c>
      <c r="G512" t="inlineStr">
        <is>
          <t>fenepm</t>
        </is>
      </c>
      <c r="H512" t="inlineStr">
        <is>
          <t>constant</t>
        </is>
      </c>
      <c r="I512" t="n">
        <v>0.00505</v>
      </c>
      <c r="J512" t="inlineStr">
        <is>
          <t>[0.01, 0.03, 0.1, 0.3, 1, 3, 10, 30, 100]</t>
        </is>
      </c>
      <c r="K512" t="inlineStr">
        <is>
          <t>clasen_boger_m15</t>
        </is>
      </c>
      <c r="L512" t="inlineStr">
        <is>
          <t>julia/experiments/tnwpaper/outputs/exptl_comparison</t>
        </is>
      </c>
      <c r="M512" t="inlineStr">
        <is>
          <t>ABANDONED: M^-1.5 c* convention (2026-06-22 verdict: keep KM)</t>
        </is>
      </c>
    </row>
    <row r="513">
      <c r="A513" t="b">
        <v>0</v>
      </c>
      <c r="B513" t="n">
        <v>512</v>
      </c>
      <c r="C513" t="inlineStr">
        <is>
          <t>A2</t>
        </is>
      </c>
      <c r="D513" t="inlineStr">
        <is>
          <t>caber</t>
        </is>
      </c>
      <c r="E513" t="n">
        <v>2426</v>
      </c>
      <c r="F513" t="n">
        <v>0.03</v>
      </c>
      <c r="G513" t="inlineStr">
        <is>
          <t>fenepm</t>
        </is>
      </c>
      <c r="H513" t="inlineStr">
        <is>
          <t>c2d2</t>
        </is>
      </c>
      <c r="I513" t="n">
        <v>0.00505</v>
      </c>
      <c r="J513" t="inlineStr">
        <is>
          <t>[0.01, 0.03, 0.1, 0.3, 1, 3, 10, 30, 100]</t>
        </is>
      </c>
      <c r="K513" t="inlineStr">
        <is>
          <t>clasen_boger_m15</t>
        </is>
      </c>
      <c r="L513" t="inlineStr">
        <is>
          <t>julia/experiments/tnwpaper/outputs/exptl_comparison</t>
        </is>
      </c>
      <c r="M513" t="inlineStr">
        <is>
          <t>ABANDONED: M^-1.5 c* convention (2026-06-22 verdict: keep KM)</t>
        </is>
      </c>
    </row>
    <row r="514">
      <c r="A514" t="b">
        <v>0</v>
      </c>
      <c r="B514" t="n">
        <v>513</v>
      </c>
      <c r="C514" t="inlineStr">
        <is>
          <t>A3</t>
        </is>
      </c>
      <c r="D514" t="inlineStr">
        <is>
          <t>styext</t>
        </is>
      </c>
      <c r="E514" t="n">
        <v>2426</v>
      </c>
      <c r="F514" t="n">
        <v>0.03</v>
      </c>
      <c r="G514" t="inlineStr">
        <is>
          <t>fenepm</t>
        </is>
      </c>
      <c r="H514" t="inlineStr">
        <is>
          <t>constant</t>
        </is>
      </c>
      <c r="I514" t="n">
        <v>0.010099</v>
      </c>
      <c r="J514" t="n">
        <v>1</v>
      </c>
      <c r="K514" t="inlineStr">
        <is>
          <t>clasen_boger_m15</t>
        </is>
      </c>
      <c r="L514" t="inlineStr">
        <is>
          <t>julia/experiments/tnwpaper/outputs/exptl_comparison</t>
        </is>
      </c>
      <c r="M514" t="inlineStr">
        <is>
          <t>ABANDONED: M^-1.5 c* convention (2026-06-22 verdict: keep KM)</t>
        </is>
      </c>
    </row>
    <row r="515">
      <c r="A515" t="b">
        <v>0</v>
      </c>
      <c r="B515" t="n">
        <v>514</v>
      </c>
      <c r="C515" t="inlineStr">
        <is>
          <t>A3</t>
        </is>
      </c>
      <c r="D515" t="inlineStr">
        <is>
          <t>styext</t>
        </is>
      </c>
      <c r="E515" t="n">
        <v>2426</v>
      </c>
      <c r="F515" t="n">
        <v>0.03</v>
      </c>
      <c r="G515" t="inlineStr">
        <is>
          <t>fenepm</t>
        </is>
      </c>
      <c r="H515" t="inlineStr">
        <is>
          <t>c2d2</t>
        </is>
      </c>
      <c r="I515" t="n">
        <v>0.010099</v>
      </c>
      <c r="J515" t="n">
        <v>1</v>
      </c>
      <c r="K515" t="inlineStr">
        <is>
          <t>clasen_boger_m15</t>
        </is>
      </c>
      <c r="L515" t="inlineStr">
        <is>
          <t>julia/experiments/tnwpaper/outputs/exptl_comparison</t>
        </is>
      </c>
      <c r="M515" t="inlineStr">
        <is>
          <t>ABANDONED: M^-1.5 c* convention (2026-06-22 verdict: keep KM)</t>
        </is>
      </c>
    </row>
    <row r="516">
      <c r="A516" t="b">
        <v>0</v>
      </c>
      <c r="B516" t="n">
        <v>515</v>
      </c>
      <c r="C516" t="inlineStr">
        <is>
          <t>A3</t>
        </is>
      </c>
      <c r="D516" t="inlineStr">
        <is>
          <t>caber</t>
        </is>
      </c>
      <c r="E516" t="n">
        <v>2426</v>
      </c>
      <c r="F516" t="n">
        <v>0.03</v>
      </c>
      <c r="G516" t="inlineStr">
        <is>
          <t>fenepm</t>
        </is>
      </c>
      <c r="H516" t="inlineStr">
        <is>
          <t>constant</t>
        </is>
      </c>
      <c r="I516" t="n">
        <v>0.010099</v>
      </c>
      <c r="J516" t="inlineStr">
        <is>
          <t>[0.01, 0.03, 0.1, 0.3, 1, 3, 10, 30, 100]</t>
        </is>
      </c>
      <c r="K516" t="inlineStr">
        <is>
          <t>clasen_boger_m15</t>
        </is>
      </c>
      <c r="L516" t="inlineStr">
        <is>
          <t>julia/experiments/tnwpaper/outputs/exptl_comparison</t>
        </is>
      </c>
      <c r="M516" t="inlineStr">
        <is>
          <t>ABANDONED: M^-1.5 c* convention (2026-06-22 verdict: keep KM)</t>
        </is>
      </c>
    </row>
    <row r="517">
      <c r="A517" t="b">
        <v>0</v>
      </c>
      <c r="B517" t="n">
        <v>516</v>
      </c>
      <c r="C517" t="inlineStr">
        <is>
          <t>A3</t>
        </is>
      </c>
      <c r="D517" t="inlineStr">
        <is>
          <t>caber</t>
        </is>
      </c>
      <c r="E517" t="n">
        <v>2426</v>
      </c>
      <c r="F517" t="n">
        <v>0.03</v>
      </c>
      <c r="G517" t="inlineStr">
        <is>
          <t>fenepm</t>
        </is>
      </c>
      <c r="H517" t="inlineStr">
        <is>
          <t>c2d2</t>
        </is>
      </c>
      <c r="I517" t="n">
        <v>0.010099</v>
      </c>
      <c r="J517" t="inlineStr">
        <is>
          <t>[0.01, 0.03, 0.1, 0.3, 1, 3, 10, 30, 100]</t>
        </is>
      </c>
      <c r="K517" t="inlineStr">
        <is>
          <t>clasen_boger_m15</t>
        </is>
      </c>
      <c r="L517" t="inlineStr">
        <is>
          <t>julia/experiments/tnwpaper/outputs/exptl_comparison</t>
        </is>
      </c>
      <c r="M517" t="inlineStr">
        <is>
          <t>ABANDONED: M^-1.5 c* convention (2026-06-22 verdict: keep KM)</t>
        </is>
      </c>
    </row>
    <row r="518">
      <c r="A518" t="b">
        <v>0</v>
      </c>
      <c r="B518" t="n">
        <v>517</v>
      </c>
      <c r="C518" t="inlineStr">
        <is>
          <t>A4</t>
        </is>
      </c>
      <c r="D518" t="inlineStr">
        <is>
          <t>styext</t>
        </is>
      </c>
      <c r="E518" t="n">
        <v>2426</v>
      </c>
      <c r="F518" t="n">
        <v>0.03</v>
      </c>
      <c r="G518" t="inlineStr">
        <is>
          <t>fenepm</t>
        </is>
      </c>
      <c r="H518" t="inlineStr">
        <is>
          <t>constant</t>
        </is>
      </c>
      <c r="I518" t="n">
        <v>0.025248</v>
      </c>
      <c r="J518" t="n">
        <v>1</v>
      </c>
      <c r="K518" t="inlineStr">
        <is>
          <t>clasen_boger_m15</t>
        </is>
      </c>
      <c r="L518" t="inlineStr">
        <is>
          <t>julia/experiments/tnwpaper/outputs/exptl_comparison</t>
        </is>
      </c>
      <c r="M518" t="inlineStr">
        <is>
          <t>ABANDONED: M^-1.5 c* convention (2026-06-22 verdict: keep KM)</t>
        </is>
      </c>
    </row>
    <row r="519">
      <c r="A519" t="b">
        <v>0</v>
      </c>
      <c r="B519" t="n">
        <v>518</v>
      </c>
      <c r="C519" t="inlineStr">
        <is>
          <t>A4</t>
        </is>
      </c>
      <c r="D519" t="inlineStr">
        <is>
          <t>styext</t>
        </is>
      </c>
      <c r="E519" t="n">
        <v>2426</v>
      </c>
      <c r="F519" t="n">
        <v>0.03</v>
      </c>
      <c r="G519" t="inlineStr">
        <is>
          <t>fenepm</t>
        </is>
      </c>
      <c r="H519" t="inlineStr">
        <is>
          <t>c2d2</t>
        </is>
      </c>
      <c r="I519" t="n">
        <v>0.025248</v>
      </c>
      <c r="J519" t="n">
        <v>1</v>
      </c>
      <c r="K519" t="inlineStr">
        <is>
          <t>clasen_boger_m15</t>
        </is>
      </c>
      <c r="L519" t="inlineStr">
        <is>
          <t>julia/experiments/tnwpaper/outputs/exptl_comparison</t>
        </is>
      </c>
      <c r="M519" t="inlineStr">
        <is>
          <t>ABANDONED: M^-1.5 c* convention (2026-06-22 verdict: keep KM)</t>
        </is>
      </c>
    </row>
    <row r="520">
      <c r="A520" t="b">
        <v>0</v>
      </c>
      <c r="B520" t="n">
        <v>519</v>
      </c>
      <c r="C520" t="inlineStr">
        <is>
          <t>A4</t>
        </is>
      </c>
      <c r="D520" t="inlineStr">
        <is>
          <t>caber</t>
        </is>
      </c>
      <c r="E520" t="n">
        <v>2426</v>
      </c>
      <c r="F520" t="n">
        <v>0.03</v>
      </c>
      <c r="G520" t="inlineStr">
        <is>
          <t>fenepm</t>
        </is>
      </c>
      <c r="H520" t="inlineStr">
        <is>
          <t>constant</t>
        </is>
      </c>
      <c r="I520" t="n">
        <v>0.025248</v>
      </c>
      <c r="J520" t="inlineStr">
        <is>
          <t>[0.01, 0.03, 0.1, 0.3, 1, 3, 10, 30, 100]</t>
        </is>
      </c>
      <c r="K520" t="inlineStr">
        <is>
          <t>clasen_boger_m15</t>
        </is>
      </c>
      <c r="L520" t="inlineStr">
        <is>
          <t>julia/experiments/tnwpaper/outputs/exptl_comparison</t>
        </is>
      </c>
      <c r="M520" t="inlineStr">
        <is>
          <t>ABANDONED: M^-1.5 c* convention (2026-06-22 verdict: keep KM)</t>
        </is>
      </c>
    </row>
    <row r="521">
      <c r="A521" t="b">
        <v>0</v>
      </c>
      <c r="B521" t="n">
        <v>520</v>
      </c>
      <c r="C521" t="inlineStr">
        <is>
          <t>A4</t>
        </is>
      </c>
      <c r="D521" t="inlineStr">
        <is>
          <t>caber</t>
        </is>
      </c>
      <c r="E521" t="n">
        <v>2426</v>
      </c>
      <c r="F521" t="n">
        <v>0.03</v>
      </c>
      <c r="G521" t="inlineStr">
        <is>
          <t>fenepm</t>
        </is>
      </c>
      <c r="H521" t="inlineStr">
        <is>
          <t>c2d2</t>
        </is>
      </c>
      <c r="I521" t="n">
        <v>0.025248</v>
      </c>
      <c r="J521" t="inlineStr">
        <is>
          <t>[0.01, 0.03, 0.1, 0.3, 1, 3, 10, 30, 100]</t>
        </is>
      </c>
      <c r="K521" t="inlineStr">
        <is>
          <t>clasen_boger_m15</t>
        </is>
      </c>
      <c r="L521" t="inlineStr">
        <is>
          <t>julia/experiments/tnwpaper/outputs/exptl_comparison</t>
        </is>
      </c>
      <c r="M521" t="inlineStr">
        <is>
          <t>ABANDONED: M^-1.5 c* convention (2026-06-22 verdict: keep KM)</t>
        </is>
      </c>
    </row>
    <row r="522">
      <c r="A522" t="b">
        <v>0</v>
      </c>
      <c r="B522" t="n">
        <v>521</v>
      </c>
      <c r="C522" t="inlineStr">
        <is>
          <t>A5</t>
        </is>
      </c>
      <c r="D522" t="inlineStr">
        <is>
          <t>styext</t>
        </is>
      </c>
      <c r="E522" t="n">
        <v>2426</v>
      </c>
      <c r="F522" t="n">
        <v>0.03</v>
      </c>
      <c r="G522" t="inlineStr">
        <is>
          <t>fenepm</t>
        </is>
      </c>
      <c r="H522" t="inlineStr">
        <is>
          <t>constant</t>
        </is>
      </c>
      <c r="I522" t="n">
        <v>0.050496</v>
      </c>
      <c r="J522" t="n">
        <v>1</v>
      </c>
      <c r="K522" t="inlineStr">
        <is>
          <t>clasen_boger_m15</t>
        </is>
      </c>
      <c r="L522" t="inlineStr">
        <is>
          <t>julia/experiments/tnwpaper/outputs/exptl_comparison</t>
        </is>
      </c>
      <c r="M522" t="inlineStr">
        <is>
          <t>ABANDONED: M^-1.5 c* convention (2026-06-22 verdict: keep KM)</t>
        </is>
      </c>
    </row>
    <row r="523">
      <c r="A523" t="b">
        <v>0</v>
      </c>
      <c r="B523" t="n">
        <v>522</v>
      </c>
      <c r="C523" t="inlineStr">
        <is>
          <t>A5</t>
        </is>
      </c>
      <c r="D523" t="inlineStr">
        <is>
          <t>styext</t>
        </is>
      </c>
      <c r="E523" t="n">
        <v>2426</v>
      </c>
      <c r="F523" t="n">
        <v>0.03</v>
      </c>
      <c r="G523" t="inlineStr">
        <is>
          <t>fenepm</t>
        </is>
      </c>
      <c r="H523" t="inlineStr">
        <is>
          <t>c2d2</t>
        </is>
      </c>
      <c r="I523" t="n">
        <v>0.050496</v>
      </c>
      <c r="J523" t="n">
        <v>1</v>
      </c>
      <c r="K523" t="inlineStr">
        <is>
          <t>clasen_boger_m15</t>
        </is>
      </c>
      <c r="L523" t="inlineStr">
        <is>
          <t>julia/experiments/tnwpaper/outputs/exptl_comparison</t>
        </is>
      </c>
      <c r="M523" t="inlineStr">
        <is>
          <t>ABANDONED: M^-1.5 c* convention (2026-06-22 verdict: keep KM)</t>
        </is>
      </c>
    </row>
    <row r="524">
      <c r="A524" t="b">
        <v>0</v>
      </c>
      <c r="B524" t="n">
        <v>523</v>
      </c>
      <c r="C524" t="inlineStr">
        <is>
          <t>A5</t>
        </is>
      </c>
      <c r="D524" t="inlineStr">
        <is>
          <t>caber</t>
        </is>
      </c>
      <c r="E524" t="n">
        <v>2426</v>
      </c>
      <c r="F524" t="n">
        <v>0.03</v>
      </c>
      <c r="G524" t="inlineStr">
        <is>
          <t>fenepm</t>
        </is>
      </c>
      <c r="H524" t="inlineStr">
        <is>
          <t>constant</t>
        </is>
      </c>
      <c r="I524" t="n">
        <v>0.050496</v>
      </c>
      <c r="J524" t="inlineStr">
        <is>
          <t>[0.01, 0.03, 0.1, 0.3, 1, 3, 10, 30, 100]</t>
        </is>
      </c>
      <c r="K524" t="inlineStr">
        <is>
          <t>clasen_boger_m15</t>
        </is>
      </c>
      <c r="L524" t="inlineStr">
        <is>
          <t>julia/experiments/tnwpaper/outputs/exptl_comparison</t>
        </is>
      </c>
      <c r="M524" t="inlineStr">
        <is>
          <t>ABANDONED: M^-1.5 c* convention (2026-06-22 verdict: keep KM)</t>
        </is>
      </c>
    </row>
    <row r="525">
      <c r="A525" t="b">
        <v>0</v>
      </c>
      <c r="B525" t="n">
        <v>524</v>
      </c>
      <c r="C525" t="inlineStr">
        <is>
          <t>A5</t>
        </is>
      </c>
      <c r="D525" t="inlineStr">
        <is>
          <t>caber</t>
        </is>
      </c>
      <c r="E525" t="n">
        <v>2426</v>
      </c>
      <c r="F525" t="n">
        <v>0.03</v>
      </c>
      <c r="G525" t="inlineStr">
        <is>
          <t>fenepm</t>
        </is>
      </c>
      <c r="H525" t="inlineStr">
        <is>
          <t>c2d2</t>
        </is>
      </c>
      <c r="I525" t="n">
        <v>0.050496</v>
      </c>
      <c r="J525" t="inlineStr">
        <is>
          <t>[0.01, 0.03, 0.1, 0.3, 1, 3, 10, 30, 100]</t>
        </is>
      </c>
      <c r="K525" t="inlineStr">
        <is>
          <t>clasen_boger_m15</t>
        </is>
      </c>
      <c r="L525" t="inlineStr">
        <is>
          <t>julia/experiments/tnwpaper/outputs/exptl_comparison</t>
        </is>
      </c>
      <c r="M525" t="inlineStr">
        <is>
          <t>ABANDONED: M^-1.5 c* convention (2026-06-22 verdict: keep KM)</t>
        </is>
      </c>
    </row>
    <row r="526">
      <c r="A526" t="b">
        <v>0</v>
      </c>
      <c r="B526" t="n">
        <v>525</v>
      </c>
      <c r="C526" t="inlineStr">
        <is>
          <t>B1</t>
        </is>
      </c>
      <c r="D526" t="inlineStr">
        <is>
          <t>styext</t>
        </is>
      </c>
      <c r="E526" t="n">
        <v>3774</v>
      </c>
      <c r="F526" t="n">
        <v>0.03</v>
      </c>
      <c r="G526" t="inlineStr">
        <is>
          <t>fenepm</t>
        </is>
      </c>
      <c r="H526" t="inlineStr">
        <is>
          <t>constant</t>
        </is>
      </c>
      <c r="I526" t="n">
        <v>0.000862</v>
      </c>
      <c r="J526" t="n">
        <v>1</v>
      </c>
      <c r="K526" t="inlineStr">
        <is>
          <t>clasen_boger_m15</t>
        </is>
      </c>
      <c r="L526" t="inlineStr">
        <is>
          <t>julia/experiments/tnwpaper/outputs/exptl_comparison</t>
        </is>
      </c>
      <c r="M526" t="inlineStr">
        <is>
          <t>ABANDONED: M^-1.5 c* convention (2026-06-22 verdict: keep KM)</t>
        </is>
      </c>
    </row>
    <row r="527">
      <c r="A527" t="b">
        <v>0</v>
      </c>
      <c r="B527" t="n">
        <v>526</v>
      </c>
      <c r="C527" t="inlineStr">
        <is>
          <t>B1</t>
        </is>
      </c>
      <c r="D527" t="inlineStr">
        <is>
          <t>styext</t>
        </is>
      </c>
      <c r="E527" t="n">
        <v>3774</v>
      </c>
      <c r="F527" t="n">
        <v>0.03</v>
      </c>
      <c r="G527" t="inlineStr">
        <is>
          <t>fenepm</t>
        </is>
      </c>
      <c r="H527" t="inlineStr">
        <is>
          <t>c2d2</t>
        </is>
      </c>
      <c r="I527" t="n">
        <v>0.000862</v>
      </c>
      <c r="J527" t="n">
        <v>1</v>
      </c>
      <c r="K527" t="inlineStr">
        <is>
          <t>clasen_boger_m15</t>
        </is>
      </c>
      <c r="L527" t="inlineStr">
        <is>
          <t>julia/experiments/tnwpaper/outputs/exptl_comparison</t>
        </is>
      </c>
      <c r="M527" t="inlineStr">
        <is>
          <t>ABANDONED: M^-1.5 c* convention (2026-06-22 verdict: keep KM)</t>
        </is>
      </c>
    </row>
    <row r="528">
      <c r="A528" t="b">
        <v>0</v>
      </c>
      <c r="B528" t="n">
        <v>527</v>
      </c>
      <c r="C528" t="inlineStr">
        <is>
          <t>B1</t>
        </is>
      </c>
      <c r="D528" t="inlineStr">
        <is>
          <t>caber</t>
        </is>
      </c>
      <c r="E528" t="n">
        <v>3774</v>
      </c>
      <c r="F528" t="n">
        <v>0.03</v>
      </c>
      <c r="G528" t="inlineStr">
        <is>
          <t>fenepm</t>
        </is>
      </c>
      <c r="H528" t="inlineStr">
        <is>
          <t>constant</t>
        </is>
      </c>
      <c r="I528" t="n">
        <v>0.000862</v>
      </c>
      <c r="J528" t="inlineStr">
        <is>
          <t>[0.01, 0.03, 0.1, 0.3, 1, 3, 10, 30, 100]</t>
        </is>
      </c>
      <c r="K528" t="inlineStr">
        <is>
          <t>clasen_boger_m15</t>
        </is>
      </c>
      <c r="L528" t="inlineStr">
        <is>
          <t>julia/experiments/tnwpaper/outputs/exptl_comparison</t>
        </is>
      </c>
      <c r="M528" t="inlineStr">
        <is>
          <t>ABANDONED: M^-1.5 c* convention (2026-06-22 verdict: keep KM)</t>
        </is>
      </c>
    </row>
    <row r="529">
      <c r="A529" t="b">
        <v>0</v>
      </c>
      <c r="B529" t="n">
        <v>528</v>
      </c>
      <c r="C529" t="inlineStr">
        <is>
          <t>B1</t>
        </is>
      </c>
      <c r="D529" t="inlineStr">
        <is>
          <t>caber</t>
        </is>
      </c>
      <c r="E529" t="n">
        <v>3774</v>
      </c>
      <c r="F529" t="n">
        <v>0.03</v>
      </c>
      <c r="G529" t="inlineStr">
        <is>
          <t>fenepm</t>
        </is>
      </c>
      <c r="H529" t="inlineStr">
        <is>
          <t>c2d2</t>
        </is>
      </c>
      <c r="I529" t="n">
        <v>0.000862</v>
      </c>
      <c r="J529" t="inlineStr">
        <is>
          <t>[0.01, 0.03, 0.1, 0.3, 1, 3, 10, 30, 100]</t>
        </is>
      </c>
      <c r="K529" t="inlineStr">
        <is>
          <t>clasen_boger_m15</t>
        </is>
      </c>
      <c r="L529" t="inlineStr">
        <is>
          <t>julia/experiments/tnwpaper/outputs/exptl_comparison</t>
        </is>
      </c>
      <c r="M529" t="inlineStr">
        <is>
          <t>ABANDONED: M^-1.5 c* convention (2026-06-22 verdict: keep KM)</t>
        </is>
      </c>
    </row>
    <row r="530">
      <c r="A530" t="b">
        <v>0</v>
      </c>
      <c r="B530" t="n">
        <v>529</v>
      </c>
      <c r="C530" t="inlineStr">
        <is>
          <t>B2</t>
        </is>
      </c>
      <c r="D530" t="inlineStr">
        <is>
          <t>styext</t>
        </is>
      </c>
      <c r="E530" t="n">
        <v>3774</v>
      </c>
      <c r="F530" t="n">
        <v>0.03</v>
      </c>
      <c r="G530" t="inlineStr">
        <is>
          <t>fenepm</t>
        </is>
      </c>
      <c r="H530" t="inlineStr">
        <is>
          <t>constant</t>
        </is>
      </c>
      <c r="I530" t="n">
        <v>0.00147</v>
      </c>
      <c r="J530" t="n">
        <v>1</v>
      </c>
      <c r="K530" t="inlineStr">
        <is>
          <t>clasen_boger_m15</t>
        </is>
      </c>
      <c r="L530" t="inlineStr">
        <is>
          <t>julia/experiments/tnwpaper/outputs/exptl_comparison</t>
        </is>
      </c>
      <c r="M530" t="inlineStr">
        <is>
          <t>ABANDONED: M^-1.5 c* convention (2026-06-22 verdict: keep KM)</t>
        </is>
      </c>
    </row>
    <row r="531">
      <c r="A531" t="b">
        <v>0</v>
      </c>
      <c r="B531" t="n">
        <v>530</v>
      </c>
      <c r="C531" t="inlineStr">
        <is>
          <t>B2</t>
        </is>
      </c>
      <c r="D531" t="inlineStr">
        <is>
          <t>styext</t>
        </is>
      </c>
      <c r="E531" t="n">
        <v>3774</v>
      </c>
      <c r="F531" t="n">
        <v>0.03</v>
      </c>
      <c r="G531" t="inlineStr">
        <is>
          <t>fenepm</t>
        </is>
      </c>
      <c r="H531" t="inlineStr">
        <is>
          <t>c2d2</t>
        </is>
      </c>
      <c r="I531" t="n">
        <v>0.00147</v>
      </c>
      <c r="J531" t="n">
        <v>1</v>
      </c>
      <c r="K531" t="inlineStr">
        <is>
          <t>clasen_boger_m15</t>
        </is>
      </c>
      <c r="L531" t="inlineStr">
        <is>
          <t>julia/experiments/tnwpaper/outputs/exptl_comparison</t>
        </is>
      </c>
      <c r="M531" t="inlineStr">
        <is>
          <t>ABANDONED: M^-1.5 c* convention (2026-06-22 verdict: keep KM)</t>
        </is>
      </c>
    </row>
    <row r="532">
      <c r="A532" t="b">
        <v>0</v>
      </c>
      <c r="B532" t="n">
        <v>531</v>
      </c>
      <c r="C532" t="inlineStr">
        <is>
          <t>B2</t>
        </is>
      </c>
      <c r="D532" t="inlineStr">
        <is>
          <t>caber</t>
        </is>
      </c>
      <c r="E532" t="n">
        <v>3774</v>
      </c>
      <c r="F532" t="n">
        <v>0.03</v>
      </c>
      <c r="G532" t="inlineStr">
        <is>
          <t>fenepm</t>
        </is>
      </c>
      <c r="H532" t="inlineStr">
        <is>
          <t>constant</t>
        </is>
      </c>
      <c r="I532" t="n">
        <v>0.00147</v>
      </c>
      <c r="J532" t="inlineStr">
        <is>
          <t>[0.01, 0.03, 0.1, 0.3, 1, 3, 10, 30, 100]</t>
        </is>
      </c>
      <c r="K532" t="inlineStr">
        <is>
          <t>clasen_boger_m15</t>
        </is>
      </c>
      <c r="L532" t="inlineStr">
        <is>
          <t>julia/experiments/tnwpaper/outputs/exptl_comparison</t>
        </is>
      </c>
      <c r="M532" t="inlineStr">
        <is>
          <t>ABANDONED: M^-1.5 c* convention (2026-06-22 verdict: keep KM)</t>
        </is>
      </c>
    </row>
    <row r="533">
      <c r="A533" t="b">
        <v>0</v>
      </c>
      <c r="B533" t="n">
        <v>532</v>
      </c>
      <c r="C533" t="inlineStr">
        <is>
          <t>B2</t>
        </is>
      </c>
      <c r="D533" t="inlineStr">
        <is>
          <t>caber</t>
        </is>
      </c>
      <c r="E533" t="n">
        <v>3774</v>
      </c>
      <c r="F533" t="n">
        <v>0.03</v>
      </c>
      <c r="G533" t="inlineStr">
        <is>
          <t>fenepm</t>
        </is>
      </c>
      <c r="H533" t="inlineStr">
        <is>
          <t>c2d2</t>
        </is>
      </c>
      <c r="I533" t="n">
        <v>0.00147</v>
      </c>
      <c r="J533" t="inlineStr">
        <is>
          <t>[0.01, 0.03, 0.1, 0.3, 1, 3, 10, 30, 100]</t>
        </is>
      </c>
      <c r="K533" t="inlineStr">
        <is>
          <t>clasen_boger_m15</t>
        </is>
      </c>
      <c r="L533" t="inlineStr">
        <is>
          <t>julia/experiments/tnwpaper/outputs/exptl_comparison</t>
        </is>
      </c>
      <c r="M533" t="inlineStr">
        <is>
          <t>ABANDONED: M^-1.5 c* convention (2026-06-22 verdict: keep KM)</t>
        </is>
      </c>
    </row>
    <row r="534">
      <c r="A534" t="b">
        <v>0</v>
      </c>
      <c r="B534" t="n">
        <v>533</v>
      </c>
      <c r="C534" t="inlineStr">
        <is>
          <t>B3</t>
        </is>
      </c>
      <c r="D534" t="inlineStr">
        <is>
          <t>styext</t>
        </is>
      </c>
      <c r="E534" t="n">
        <v>3774</v>
      </c>
      <c r="F534" t="n">
        <v>0.03</v>
      </c>
      <c r="G534" t="inlineStr">
        <is>
          <t>fenepm</t>
        </is>
      </c>
      <c r="H534" t="inlineStr">
        <is>
          <t>constant</t>
        </is>
      </c>
      <c r="I534" t="n">
        <v>0.002743</v>
      </c>
      <c r="J534" t="n">
        <v>1</v>
      </c>
      <c r="K534" t="inlineStr">
        <is>
          <t>clasen_boger_m15</t>
        </is>
      </c>
      <c r="L534" t="inlineStr">
        <is>
          <t>julia/experiments/tnwpaper/outputs/exptl_comparison</t>
        </is>
      </c>
      <c r="M534" t="inlineStr">
        <is>
          <t>ABANDONED: M^-1.5 c* convention (2026-06-22 verdict: keep KM)</t>
        </is>
      </c>
    </row>
    <row r="535">
      <c r="A535" t="b">
        <v>0</v>
      </c>
      <c r="B535" t="n">
        <v>534</v>
      </c>
      <c r="C535" t="inlineStr">
        <is>
          <t>B3</t>
        </is>
      </c>
      <c r="D535" t="inlineStr">
        <is>
          <t>styext</t>
        </is>
      </c>
      <c r="E535" t="n">
        <v>3774</v>
      </c>
      <c r="F535" t="n">
        <v>0.03</v>
      </c>
      <c r="G535" t="inlineStr">
        <is>
          <t>fenepm</t>
        </is>
      </c>
      <c r="H535" t="inlineStr">
        <is>
          <t>c2d2</t>
        </is>
      </c>
      <c r="I535" t="n">
        <v>0.002743</v>
      </c>
      <c r="J535" t="n">
        <v>1</v>
      </c>
      <c r="K535" t="inlineStr">
        <is>
          <t>clasen_boger_m15</t>
        </is>
      </c>
      <c r="L535" t="inlineStr">
        <is>
          <t>julia/experiments/tnwpaper/outputs/exptl_comparison</t>
        </is>
      </c>
      <c r="M535" t="inlineStr">
        <is>
          <t>ABANDONED: M^-1.5 c* convention (2026-06-22 verdict: keep KM)</t>
        </is>
      </c>
    </row>
    <row r="536">
      <c r="A536" t="b">
        <v>0</v>
      </c>
      <c r="B536" t="n">
        <v>535</v>
      </c>
      <c r="C536" t="inlineStr">
        <is>
          <t>B3</t>
        </is>
      </c>
      <c r="D536" t="inlineStr">
        <is>
          <t>caber</t>
        </is>
      </c>
      <c r="E536" t="n">
        <v>3774</v>
      </c>
      <c r="F536" t="n">
        <v>0.03</v>
      </c>
      <c r="G536" t="inlineStr">
        <is>
          <t>fenepm</t>
        </is>
      </c>
      <c r="H536" t="inlineStr">
        <is>
          <t>constant</t>
        </is>
      </c>
      <c r="I536" t="n">
        <v>0.002743</v>
      </c>
      <c r="J536" t="inlineStr">
        <is>
          <t>[0.01, 0.03, 0.1, 0.3, 1, 3, 10, 30, 100]</t>
        </is>
      </c>
      <c r="K536" t="inlineStr">
        <is>
          <t>clasen_boger_m15</t>
        </is>
      </c>
      <c r="L536" t="inlineStr">
        <is>
          <t>julia/experiments/tnwpaper/outputs/exptl_comparison</t>
        </is>
      </c>
      <c r="M536" t="inlineStr">
        <is>
          <t>ABANDONED: M^-1.5 c* convention (2026-06-22 verdict: keep KM)</t>
        </is>
      </c>
    </row>
    <row r="537">
      <c r="A537" t="b">
        <v>0</v>
      </c>
      <c r="B537" t="n">
        <v>536</v>
      </c>
      <c r="C537" t="inlineStr">
        <is>
          <t>B3</t>
        </is>
      </c>
      <c r="D537" t="inlineStr">
        <is>
          <t>caber</t>
        </is>
      </c>
      <c r="E537" t="n">
        <v>3774</v>
      </c>
      <c r="F537" t="n">
        <v>0.03</v>
      </c>
      <c r="G537" t="inlineStr">
        <is>
          <t>fenepm</t>
        </is>
      </c>
      <c r="H537" t="inlineStr">
        <is>
          <t>c2d2</t>
        </is>
      </c>
      <c r="I537" t="n">
        <v>0.002743</v>
      </c>
      <c r="J537" t="inlineStr">
        <is>
          <t>[0.01, 0.03, 0.1, 0.3, 1, 3, 10, 30, 100]</t>
        </is>
      </c>
      <c r="K537" t="inlineStr">
        <is>
          <t>clasen_boger_m15</t>
        </is>
      </c>
      <c r="L537" t="inlineStr">
        <is>
          <t>julia/experiments/tnwpaper/outputs/exptl_comparison</t>
        </is>
      </c>
      <c r="M537" t="inlineStr">
        <is>
          <t>ABANDONED: M^-1.5 c* convention (2026-06-22 verdict: keep KM)</t>
        </is>
      </c>
    </row>
    <row r="538">
      <c r="A538" t="b">
        <v>0</v>
      </c>
      <c r="B538" t="n">
        <v>537</v>
      </c>
      <c r="C538" t="inlineStr">
        <is>
          <t>B4</t>
        </is>
      </c>
      <c r="D538" t="inlineStr">
        <is>
          <t>styext</t>
        </is>
      </c>
      <c r="E538" t="n">
        <v>3774</v>
      </c>
      <c r="F538" t="n">
        <v>0.03</v>
      </c>
      <c r="G538" t="inlineStr">
        <is>
          <t>fenepm</t>
        </is>
      </c>
      <c r="H538" t="inlineStr">
        <is>
          <t>constant</t>
        </is>
      </c>
      <c r="I538" t="n">
        <v>0.004899</v>
      </c>
      <c r="J538" t="n">
        <v>1</v>
      </c>
      <c r="K538" t="inlineStr">
        <is>
          <t>clasen_boger_m15</t>
        </is>
      </c>
      <c r="L538" t="inlineStr">
        <is>
          <t>julia/experiments/tnwpaper/outputs/exptl_comparison</t>
        </is>
      </c>
      <c r="M538" t="inlineStr">
        <is>
          <t>ABANDONED: M^-1.5 c* convention (2026-06-22 verdict: keep KM)</t>
        </is>
      </c>
    </row>
    <row r="539">
      <c r="A539" t="b">
        <v>0</v>
      </c>
      <c r="B539" t="n">
        <v>538</v>
      </c>
      <c r="C539" t="inlineStr">
        <is>
          <t>B4</t>
        </is>
      </c>
      <c r="D539" t="inlineStr">
        <is>
          <t>styext</t>
        </is>
      </c>
      <c r="E539" t="n">
        <v>3774</v>
      </c>
      <c r="F539" t="n">
        <v>0.03</v>
      </c>
      <c r="G539" t="inlineStr">
        <is>
          <t>fenepm</t>
        </is>
      </c>
      <c r="H539" t="inlineStr">
        <is>
          <t>c2d2</t>
        </is>
      </c>
      <c r="I539" t="n">
        <v>0.004899</v>
      </c>
      <c r="J539" t="n">
        <v>1</v>
      </c>
      <c r="K539" t="inlineStr">
        <is>
          <t>clasen_boger_m15</t>
        </is>
      </c>
      <c r="L539" t="inlineStr">
        <is>
          <t>julia/experiments/tnwpaper/outputs/exptl_comparison</t>
        </is>
      </c>
      <c r="M539" t="inlineStr">
        <is>
          <t>ABANDONED: M^-1.5 c* convention (2026-06-22 verdict: keep KM)</t>
        </is>
      </c>
    </row>
    <row r="540">
      <c r="A540" t="b">
        <v>0</v>
      </c>
      <c r="B540" t="n">
        <v>539</v>
      </c>
      <c r="C540" t="inlineStr">
        <is>
          <t>B4</t>
        </is>
      </c>
      <c r="D540" t="inlineStr">
        <is>
          <t>caber</t>
        </is>
      </c>
      <c r="E540" t="n">
        <v>3774</v>
      </c>
      <c r="F540" t="n">
        <v>0.03</v>
      </c>
      <c r="G540" t="inlineStr">
        <is>
          <t>fenepm</t>
        </is>
      </c>
      <c r="H540" t="inlineStr">
        <is>
          <t>constant</t>
        </is>
      </c>
      <c r="I540" t="n">
        <v>0.004899</v>
      </c>
      <c r="J540" t="inlineStr">
        <is>
          <t>[0.01, 0.03, 0.1, 0.3, 1, 3, 10, 30, 100]</t>
        </is>
      </c>
      <c r="K540" t="inlineStr">
        <is>
          <t>clasen_boger_m15</t>
        </is>
      </c>
      <c r="L540" t="inlineStr">
        <is>
          <t>julia/experiments/tnwpaper/outputs/exptl_comparison</t>
        </is>
      </c>
      <c r="M540" t="inlineStr">
        <is>
          <t>ABANDONED: M^-1.5 c* convention (2026-06-22 verdict: keep KM)</t>
        </is>
      </c>
    </row>
    <row r="541">
      <c r="A541" t="b">
        <v>0</v>
      </c>
      <c r="B541" t="n">
        <v>540</v>
      </c>
      <c r="C541" t="inlineStr">
        <is>
          <t>B4</t>
        </is>
      </c>
      <c r="D541" t="inlineStr">
        <is>
          <t>caber</t>
        </is>
      </c>
      <c r="E541" t="n">
        <v>3774</v>
      </c>
      <c r="F541" t="n">
        <v>0.03</v>
      </c>
      <c r="G541" t="inlineStr">
        <is>
          <t>fenepm</t>
        </is>
      </c>
      <c r="H541" t="inlineStr">
        <is>
          <t>c2d2</t>
        </is>
      </c>
      <c r="I541" t="n">
        <v>0.004899</v>
      </c>
      <c r="J541" t="inlineStr">
        <is>
          <t>[0.01, 0.03, 0.1, 0.3, 1, 3, 10, 30, 100]</t>
        </is>
      </c>
      <c r="K541" t="inlineStr">
        <is>
          <t>clasen_boger_m15</t>
        </is>
      </c>
      <c r="L541" t="inlineStr">
        <is>
          <t>julia/experiments/tnwpaper/outputs/exptl_comparison</t>
        </is>
      </c>
      <c r="M541" t="inlineStr">
        <is>
          <t>ABANDONED: M^-1.5 c* convention (2026-06-22 verdict: keep KM)</t>
        </is>
      </c>
    </row>
    <row r="542">
      <c r="A542" t="b">
        <v>0</v>
      </c>
      <c r="B542" t="n">
        <v>541</v>
      </c>
      <c r="C542" t="inlineStr">
        <is>
          <t>B5</t>
        </is>
      </c>
      <c r="D542" t="inlineStr">
        <is>
          <t>styext</t>
        </is>
      </c>
      <c r="E542" t="n">
        <v>3774</v>
      </c>
      <c r="F542" t="n">
        <v>0.03</v>
      </c>
      <c r="G542" t="inlineStr">
        <is>
          <t>fenepm</t>
        </is>
      </c>
      <c r="H542" t="inlineStr">
        <is>
          <t>constant</t>
        </is>
      </c>
      <c r="I542" t="n">
        <v>0.008621</v>
      </c>
      <c r="J542" t="n">
        <v>1</v>
      </c>
      <c r="K542" t="inlineStr">
        <is>
          <t>clasen_boger_m15</t>
        </is>
      </c>
      <c r="L542" t="inlineStr">
        <is>
          <t>julia/experiments/tnwpaper/outputs/exptl_comparison</t>
        </is>
      </c>
      <c r="M542" t="inlineStr">
        <is>
          <t>ABANDONED: M^-1.5 c* convention (2026-06-22 verdict: keep KM)</t>
        </is>
      </c>
    </row>
    <row r="543">
      <c r="A543" t="b">
        <v>0</v>
      </c>
      <c r="B543" t="n">
        <v>542</v>
      </c>
      <c r="C543" t="inlineStr">
        <is>
          <t>B5</t>
        </is>
      </c>
      <c r="D543" t="inlineStr">
        <is>
          <t>styext</t>
        </is>
      </c>
      <c r="E543" t="n">
        <v>3774</v>
      </c>
      <c r="F543" t="n">
        <v>0.03</v>
      </c>
      <c r="G543" t="inlineStr">
        <is>
          <t>fenepm</t>
        </is>
      </c>
      <c r="H543" t="inlineStr">
        <is>
          <t>c2d2</t>
        </is>
      </c>
      <c r="I543" t="n">
        <v>0.008621</v>
      </c>
      <c r="J543" t="n">
        <v>1</v>
      </c>
      <c r="K543" t="inlineStr">
        <is>
          <t>clasen_boger_m15</t>
        </is>
      </c>
      <c r="L543" t="inlineStr">
        <is>
          <t>julia/experiments/tnwpaper/outputs/exptl_comparison</t>
        </is>
      </c>
      <c r="M543" t="inlineStr">
        <is>
          <t>ABANDONED: M^-1.5 c* convention (2026-06-22 verdict: keep KM)</t>
        </is>
      </c>
    </row>
    <row r="544">
      <c r="A544" t="b">
        <v>0</v>
      </c>
      <c r="B544" t="n">
        <v>543</v>
      </c>
      <c r="C544" t="inlineStr">
        <is>
          <t>B5</t>
        </is>
      </c>
      <c r="D544" t="inlineStr">
        <is>
          <t>caber</t>
        </is>
      </c>
      <c r="E544" t="n">
        <v>3774</v>
      </c>
      <c r="F544" t="n">
        <v>0.03</v>
      </c>
      <c r="G544" t="inlineStr">
        <is>
          <t>fenepm</t>
        </is>
      </c>
      <c r="H544" t="inlineStr">
        <is>
          <t>constant</t>
        </is>
      </c>
      <c r="I544" t="n">
        <v>0.008621</v>
      </c>
      <c r="J544" t="inlineStr">
        <is>
          <t>[0.01, 0.03, 0.1, 0.3, 1, 3, 10, 30, 100]</t>
        </is>
      </c>
      <c r="K544" t="inlineStr">
        <is>
          <t>clasen_boger_m15</t>
        </is>
      </c>
      <c r="L544" t="inlineStr">
        <is>
          <t>julia/experiments/tnwpaper/outputs/exptl_comparison</t>
        </is>
      </c>
      <c r="M544" t="inlineStr">
        <is>
          <t>ABANDONED: M^-1.5 c* convention (2026-06-22 verdict: keep KM)</t>
        </is>
      </c>
    </row>
    <row r="545">
      <c r="A545" t="b">
        <v>0</v>
      </c>
      <c r="B545" t="n">
        <v>544</v>
      </c>
      <c r="C545" t="inlineStr">
        <is>
          <t>B5</t>
        </is>
      </c>
      <c r="D545" t="inlineStr">
        <is>
          <t>caber</t>
        </is>
      </c>
      <c r="E545" t="n">
        <v>3774</v>
      </c>
      <c r="F545" t="n">
        <v>0.03</v>
      </c>
      <c r="G545" t="inlineStr">
        <is>
          <t>fenepm</t>
        </is>
      </c>
      <c r="H545" t="inlineStr">
        <is>
          <t>c2d2</t>
        </is>
      </c>
      <c r="I545" t="n">
        <v>0.008621</v>
      </c>
      <c r="J545" t="inlineStr">
        <is>
          <t>[0.01, 0.03, 0.1, 0.3, 1, 3, 10, 30, 100]</t>
        </is>
      </c>
      <c r="K545" t="inlineStr">
        <is>
          <t>clasen_boger_m15</t>
        </is>
      </c>
      <c r="L545" t="inlineStr">
        <is>
          <t>julia/experiments/tnwpaper/outputs/exptl_comparison</t>
        </is>
      </c>
      <c r="M545" t="inlineStr">
        <is>
          <t>ABANDONED: M^-1.5 c* convention (2026-06-22 verdict: keep KM)</t>
        </is>
      </c>
    </row>
    <row r="546">
      <c r="A546" t="b">
        <v>0</v>
      </c>
      <c r="B546" t="n">
        <v>545</v>
      </c>
      <c r="C546" t="inlineStr">
        <is>
          <t>B6</t>
        </is>
      </c>
      <c r="D546" t="inlineStr">
        <is>
          <t>styext</t>
        </is>
      </c>
      <c r="E546" t="n">
        <v>3774</v>
      </c>
      <c r="F546" t="n">
        <v>0.03</v>
      </c>
      <c r="G546" t="inlineStr">
        <is>
          <t>fenepm</t>
        </is>
      </c>
      <c r="H546" t="inlineStr">
        <is>
          <t>constant</t>
        </is>
      </c>
      <c r="I546" t="n">
        <v>0.015479</v>
      </c>
      <c r="J546" t="n">
        <v>1</v>
      </c>
      <c r="K546" t="inlineStr">
        <is>
          <t>clasen_boger_m15</t>
        </is>
      </c>
      <c r="L546" t="inlineStr">
        <is>
          <t>julia/experiments/tnwpaper/outputs/exptl_comparison</t>
        </is>
      </c>
      <c r="M546" t="inlineStr">
        <is>
          <t>ABANDONED: M^-1.5 c* convention (2026-06-22 verdict: keep KM)</t>
        </is>
      </c>
    </row>
    <row r="547">
      <c r="A547" t="b">
        <v>0</v>
      </c>
      <c r="B547" t="n">
        <v>546</v>
      </c>
      <c r="C547" t="inlineStr">
        <is>
          <t>B6</t>
        </is>
      </c>
      <c r="D547" t="inlineStr">
        <is>
          <t>styext</t>
        </is>
      </c>
      <c r="E547" t="n">
        <v>3774</v>
      </c>
      <c r="F547" t="n">
        <v>0.03</v>
      </c>
      <c r="G547" t="inlineStr">
        <is>
          <t>fenepm</t>
        </is>
      </c>
      <c r="H547" t="inlineStr">
        <is>
          <t>c2d2</t>
        </is>
      </c>
      <c r="I547" t="n">
        <v>0.015479</v>
      </c>
      <c r="J547" t="n">
        <v>1</v>
      </c>
      <c r="K547" t="inlineStr">
        <is>
          <t>clasen_boger_m15</t>
        </is>
      </c>
      <c r="L547" t="inlineStr">
        <is>
          <t>julia/experiments/tnwpaper/outputs/exptl_comparison</t>
        </is>
      </c>
      <c r="M547" t="inlineStr">
        <is>
          <t>ABANDONED: M^-1.5 c* convention (2026-06-22 verdict: keep KM)</t>
        </is>
      </c>
    </row>
    <row r="548">
      <c r="A548" t="b">
        <v>0</v>
      </c>
      <c r="B548" t="n">
        <v>547</v>
      </c>
      <c r="C548" t="inlineStr">
        <is>
          <t>B6</t>
        </is>
      </c>
      <c r="D548" t="inlineStr">
        <is>
          <t>caber</t>
        </is>
      </c>
      <c r="E548" t="n">
        <v>3774</v>
      </c>
      <c r="F548" t="n">
        <v>0.03</v>
      </c>
      <c r="G548" t="inlineStr">
        <is>
          <t>fenepm</t>
        </is>
      </c>
      <c r="H548" t="inlineStr">
        <is>
          <t>constant</t>
        </is>
      </c>
      <c r="I548" t="n">
        <v>0.015479</v>
      </c>
      <c r="J548" t="inlineStr">
        <is>
          <t>[0.01, 0.03, 0.1, 0.3, 1, 3, 10, 30, 100]</t>
        </is>
      </c>
      <c r="K548" t="inlineStr">
        <is>
          <t>clasen_boger_m15</t>
        </is>
      </c>
      <c r="L548" t="inlineStr">
        <is>
          <t>julia/experiments/tnwpaper/outputs/exptl_comparison</t>
        </is>
      </c>
      <c r="M548" t="inlineStr">
        <is>
          <t>ABANDONED: M^-1.5 c* convention (2026-06-22 verdict: keep KM)</t>
        </is>
      </c>
    </row>
    <row r="549">
      <c r="A549" t="b">
        <v>0</v>
      </c>
      <c r="B549" t="n">
        <v>548</v>
      </c>
      <c r="C549" t="inlineStr">
        <is>
          <t>B6</t>
        </is>
      </c>
      <c r="D549" t="inlineStr">
        <is>
          <t>caber</t>
        </is>
      </c>
      <c r="E549" t="n">
        <v>3774</v>
      </c>
      <c r="F549" t="n">
        <v>0.03</v>
      </c>
      <c r="G549" t="inlineStr">
        <is>
          <t>fenepm</t>
        </is>
      </c>
      <c r="H549" t="inlineStr">
        <is>
          <t>c2d2</t>
        </is>
      </c>
      <c r="I549" t="n">
        <v>0.015479</v>
      </c>
      <c r="J549" t="inlineStr">
        <is>
          <t>[0.01, 0.03, 0.1, 0.3, 1, 3, 10, 30, 100]</t>
        </is>
      </c>
      <c r="K549" t="inlineStr">
        <is>
          <t>clasen_boger_m15</t>
        </is>
      </c>
      <c r="L549" t="inlineStr">
        <is>
          <t>julia/experiments/tnwpaper/outputs/exptl_comparison</t>
        </is>
      </c>
      <c r="M549" t="inlineStr">
        <is>
          <t>ABANDONED: M^-1.5 c* convention (2026-06-22 verdict: keep KM)</t>
        </is>
      </c>
    </row>
    <row r="550">
      <c r="A550" t="b">
        <v>0</v>
      </c>
      <c r="B550" t="n">
        <v>549</v>
      </c>
      <c r="C550" t="inlineStr">
        <is>
          <t>B7</t>
        </is>
      </c>
      <c r="D550" t="inlineStr">
        <is>
          <t>styext</t>
        </is>
      </c>
      <c r="E550" t="n">
        <v>3774</v>
      </c>
      <c r="F550" t="n">
        <v>0.03</v>
      </c>
      <c r="G550" t="inlineStr">
        <is>
          <t>fenepm</t>
        </is>
      </c>
      <c r="H550" t="inlineStr">
        <is>
          <t>constant</t>
        </is>
      </c>
      <c r="I550" t="n">
        <v>0.028215</v>
      </c>
      <c r="J550" t="n">
        <v>1</v>
      </c>
      <c r="K550" t="inlineStr">
        <is>
          <t>clasen_boger_m15</t>
        </is>
      </c>
      <c r="L550" t="inlineStr">
        <is>
          <t>julia/experiments/tnwpaper/outputs/exptl_comparison</t>
        </is>
      </c>
      <c r="M550" t="inlineStr">
        <is>
          <t>ABANDONED: M^-1.5 c* convention (2026-06-22 verdict: keep KM)</t>
        </is>
      </c>
    </row>
    <row r="551">
      <c r="A551" t="b">
        <v>0</v>
      </c>
      <c r="B551" t="n">
        <v>550</v>
      </c>
      <c r="C551" t="inlineStr">
        <is>
          <t>B7</t>
        </is>
      </c>
      <c r="D551" t="inlineStr">
        <is>
          <t>styext</t>
        </is>
      </c>
      <c r="E551" t="n">
        <v>3774</v>
      </c>
      <c r="F551" t="n">
        <v>0.03</v>
      </c>
      <c r="G551" t="inlineStr">
        <is>
          <t>fenepm</t>
        </is>
      </c>
      <c r="H551" t="inlineStr">
        <is>
          <t>c2d2</t>
        </is>
      </c>
      <c r="I551" t="n">
        <v>0.028215</v>
      </c>
      <c r="J551" t="n">
        <v>1</v>
      </c>
      <c r="K551" t="inlineStr">
        <is>
          <t>clasen_boger_m15</t>
        </is>
      </c>
      <c r="L551" t="inlineStr">
        <is>
          <t>julia/experiments/tnwpaper/outputs/exptl_comparison</t>
        </is>
      </c>
      <c r="M551" t="inlineStr">
        <is>
          <t>ABANDONED: M^-1.5 c* convention (2026-06-22 verdict: keep KM)</t>
        </is>
      </c>
    </row>
    <row r="552">
      <c r="A552" t="b">
        <v>0</v>
      </c>
      <c r="B552" t="n">
        <v>551</v>
      </c>
      <c r="C552" t="inlineStr">
        <is>
          <t>B7</t>
        </is>
      </c>
      <c r="D552" t="inlineStr">
        <is>
          <t>caber</t>
        </is>
      </c>
      <c r="E552" t="n">
        <v>3774</v>
      </c>
      <c r="F552" t="n">
        <v>0.03</v>
      </c>
      <c r="G552" t="inlineStr">
        <is>
          <t>fenepm</t>
        </is>
      </c>
      <c r="H552" t="inlineStr">
        <is>
          <t>constant</t>
        </is>
      </c>
      <c r="I552" t="n">
        <v>0.028215</v>
      </c>
      <c r="J552" t="inlineStr">
        <is>
          <t>[0.01, 0.03, 0.1, 0.3, 1, 3, 10, 30, 100]</t>
        </is>
      </c>
      <c r="K552" t="inlineStr">
        <is>
          <t>clasen_boger_m15</t>
        </is>
      </c>
      <c r="L552" t="inlineStr">
        <is>
          <t>julia/experiments/tnwpaper/outputs/exptl_comparison</t>
        </is>
      </c>
      <c r="M552" t="inlineStr">
        <is>
          <t>ABANDONED: M^-1.5 c* convention (2026-06-22 verdict: keep KM)</t>
        </is>
      </c>
    </row>
    <row r="553">
      <c r="A553" t="b">
        <v>0</v>
      </c>
      <c r="B553" t="n">
        <v>552</v>
      </c>
      <c r="C553" t="inlineStr">
        <is>
          <t>B7</t>
        </is>
      </c>
      <c r="D553" t="inlineStr">
        <is>
          <t>caber</t>
        </is>
      </c>
      <c r="E553" t="n">
        <v>3774</v>
      </c>
      <c r="F553" t="n">
        <v>0.03</v>
      </c>
      <c r="G553" t="inlineStr">
        <is>
          <t>fenepm</t>
        </is>
      </c>
      <c r="H553" t="inlineStr">
        <is>
          <t>c2d2</t>
        </is>
      </c>
      <c r="I553" t="n">
        <v>0.028215</v>
      </c>
      <c r="J553" t="inlineStr">
        <is>
          <t>[0.01, 0.03, 0.1, 0.3, 1, 3, 10, 30, 100]</t>
        </is>
      </c>
      <c r="K553" t="inlineStr">
        <is>
          <t>clasen_boger_m15</t>
        </is>
      </c>
      <c r="L553" t="inlineStr">
        <is>
          <t>julia/experiments/tnwpaper/outputs/exptl_comparison</t>
        </is>
      </c>
      <c r="M553" t="inlineStr">
        <is>
          <t>ABANDONED: M^-1.5 c* convention (2026-06-22 verdict: keep KM)</t>
        </is>
      </c>
    </row>
    <row r="554">
      <c r="A554" t="b">
        <v>0</v>
      </c>
      <c r="B554" t="n">
        <v>553</v>
      </c>
      <c r="C554" t="inlineStr">
        <is>
          <t>C1</t>
        </is>
      </c>
      <c r="D554" t="inlineStr">
        <is>
          <t>styext</t>
        </is>
      </c>
      <c r="E554" t="n">
        <v>7682</v>
      </c>
      <c r="F554" t="n">
        <v>0.03</v>
      </c>
      <c r="G554" t="inlineStr">
        <is>
          <t>fenepm</t>
        </is>
      </c>
      <c r="H554" t="inlineStr">
        <is>
          <t>constant</t>
        </is>
      </c>
      <c r="I554" t="n">
        <v>0.004496</v>
      </c>
      <c r="J554" t="n">
        <v>1</v>
      </c>
      <c r="K554" t="inlineStr">
        <is>
          <t>clasen_boger_m15</t>
        </is>
      </c>
      <c r="L554" t="inlineStr">
        <is>
          <t>julia/experiments/tnwpaper/outputs/exptl_comparison</t>
        </is>
      </c>
      <c r="M554" t="inlineStr">
        <is>
          <t>ABANDONED: M^-1.5 c* convention (2026-06-22 verdict: keep KM)</t>
        </is>
      </c>
    </row>
    <row r="555">
      <c r="A555" t="b">
        <v>0</v>
      </c>
      <c r="B555" t="n">
        <v>554</v>
      </c>
      <c r="C555" t="inlineStr">
        <is>
          <t>C1</t>
        </is>
      </c>
      <c r="D555" t="inlineStr">
        <is>
          <t>styext</t>
        </is>
      </c>
      <c r="E555" t="n">
        <v>7682</v>
      </c>
      <c r="F555" t="n">
        <v>0.03</v>
      </c>
      <c r="G555" t="inlineStr">
        <is>
          <t>fenepm</t>
        </is>
      </c>
      <c r="H555" t="inlineStr">
        <is>
          <t>c2d2</t>
        </is>
      </c>
      <c r="I555" t="n">
        <v>0.004496</v>
      </c>
      <c r="J555" t="n">
        <v>1</v>
      </c>
      <c r="K555" t="inlineStr">
        <is>
          <t>clasen_boger_m15</t>
        </is>
      </c>
      <c r="L555" t="inlineStr">
        <is>
          <t>julia/experiments/tnwpaper/outputs/exptl_comparison</t>
        </is>
      </c>
      <c r="M555" t="inlineStr">
        <is>
          <t>ABANDONED: M^-1.5 c* convention (2026-06-22 verdict: keep KM)</t>
        </is>
      </c>
    </row>
    <row r="556">
      <c r="A556" t="b">
        <v>0</v>
      </c>
      <c r="B556" t="n">
        <v>555</v>
      </c>
      <c r="C556" t="inlineStr">
        <is>
          <t>C1</t>
        </is>
      </c>
      <c r="D556" t="inlineStr">
        <is>
          <t>caber</t>
        </is>
      </c>
      <c r="E556" t="n">
        <v>7682</v>
      </c>
      <c r="F556" t="n">
        <v>0.03</v>
      </c>
      <c r="G556" t="inlineStr">
        <is>
          <t>fenepm</t>
        </is>
      </c>
      <c r="H556" t="inlineStr">
        <is>
          <t>constant</t>
        </is>
      </c>
      <c r="I556" t="n">
        <v>0.004496</v>
      </c>
      <c r="J556" t="inlineStr">
        <is>
          <t>[0.01, 0.03, 0.1, 0.3, 1, 3, 10, 30, 100]</t>
        </is>
      </c>
      <c r="K556" t="inlineStr">
        <is>
          <t>clasen_boger_m15</t>
        </is>
      </c>
      <c r="L556" t="inlineStr">
        <is>
          <t>julia/experiments/tnwpaper/outputs/exptl_comparison</t>
        </is>
      </c>
      <c r="M556" t="inlineStr">
        <is>
          <t>ABANDONED: M^-1.5 c* convention (2026-06-22 verdict: keep KM)</t>
        </is>
      </c>
    </row>
    <row r="557">
      <c r="A557" t="b">
        <v>0</v>
      </c>
      <c r="B557" t="n">
        <v>556</v>
      </c>
      <c r="C557" t="inlineStr">
        <is>
          <t>C1</t>
        </is>
      </c>
      <c r="D557" t="inlineStr">
        <is>
          <t>caber</t>
        </is>
      </c>
      <c r="E557" t="n">
        <v>7682</v>
      </c>
      <c r="F557" t="n">
        <v>0.03</v>
      </c>
      <c r="G557" t="inlineStr">
        <is>
          <t>fenepm</t>
        </is>
      </c>
      <c r="H557" t="inlineStr">
        <is>
          <t>c2d2</t>
        </is>
      </c>
      <c r="I557" t="n">
        <v>0.004496</v>
      </c>
      <c r="J557" t="inlineStr">
        <is>
          <t>[0.01, 0.03, 0.1, 0.3, 1, 3, 10, 30, 100]</t>
        </is>
      </c>
      <c r="K557" t="inlineStr">
        <is>
          <t>clasen_boger_m15</t>
        </is>
      </c>
      <c r="L557" t="inlineStr">
        <is>
          <t>julia/experiments/tnwpaper/outputs/exptl_comparison</t>
        </is>
      </c>
      <c r="M557" t="inlineStr">
        <is>
          <t>ABANDONED: M^-1.5 c* convention (2026-06-22 verdict: keep KM)</t>
        </is>
      </c>
    </row>
    <row r="558">
      <c r="A558" t="b">
        <v>0</v>
      </c>
      <c r="B558" t="n">
        <v>557</v>
      </c>
      <c r="C558" t="inlineStr">
        <is>
          <t>C2</t>
        </is>
      </c>
      <c r="D558" t="inlineStr">
        <is>
          <t>styext</t>
        </is>
      </c>
      <c r="E558" t="n">
        <v>7682</v>
      </c>
      <c r="F558" t="n">
        <v>0.03</v>
      </c>
      <c r="G558" t="inlineStr">
        <is>
          <t>fenepm</t>
        </is>
      </c>
      <c r="H558" t="inlineStr">
        <is>
          <t>constant</t>
        </is>
      </c>
      <c r="I558" t="n">
        <v>0.005691</v>
      </c>
      <c r="J558" t="n">
        <v>1</v>
      </c>
      <c r="K558" t="inlineStr">
        <is>
          <t>clasen_boger_m15</t>
        </is>
      </c>
      <c r="L558" t="inlineStr">
        <is>
          <t>julia/experiments/tnwpaper/outputs/exptl_comparison</t>
        </is>
      </c>
      <c r="M558" t="inlineStr">
        <is>
          <t>ABANDONED: M^-1.5 c* convention (2026-06-22 verdict: keep KM)</t>
        </is>
      </c>
    </row>
    <row r="559">
      <c r="A559" t="b">
        <v>0</v>
      </c>
      <c r="B559" t="n">
        <v>558</v>
      </c>
      <c r="C559" t="inlineStr">
        <is>
          <t>C2</t>
        </is>
      </c>
      <c r="D559" t="inlineStr">
        <is>
          <t>styext</t>
        </is>
      </c>
      <c r="E559" t="n">
        <v>7682</v>
      </c>
      <c r="F559" t="n">
        <v>0.03</v>
      </c>
      <c r="G559" t="inlineStr">
        <is>
          <t>fenepm</t>
        </is>
      </c>
      <c r="H559" t="inlineStr">
        <is>
          <t>c2d2</t>
        </is>
      </c>
      <c r="I559" t="n">
        <v>0.005691</v>
      </c>
      <c r="J559" t="n">
        <v>1</v>
      </c>
      <c r="K559" t="inlineStr">
        <is>
          <t>clasen_boger_m15</t>
        </is>
      </c>
      <c r="L559" t="inlineStr">
        <is>
          <t>julia/experiments/tnwpaper/outputs/exptl_comparison</t>
        </is>
      </c>
      <c r="M559" t="inlineStr">
        <is>
          <t>ABANDONED: M^-1.5 c* convention (2026-06-22 verdict: keep KM)</t>
        </is>
      </c>
    </row>
    <row r="560">
      <c r="A560" t="b">
        <v>0</v>
      </c>
      <c r="B560" t="n">
        <v>559</v>
      </c>
      <c r="C560" t="inlineStr">
        <is>
          <t>C2</t>
        </is>
      </c>
      <c r="D560" t="inlineStr">
        <is>
          <t>caber</t>
        </is>
      </c>
      <c r="E560" t="n">
        <v>7682</v>
      </c>
      <c r="F560" t="n">
        <v>0.03</v>
      </c>
      <c r="G560" t="inlineStr">
        <is>
          <t>fenepm</t>
        </is>
      </c>
      <c r="H560" t="inlineStr">
        <is>
          <t>constant</t>
        </is>
      </c>
      <c r="I560" t="n">
        <v>0.005691</v>
      </c>
      <c r="J560" t="inlineStr">
        <is>
          <t>[0.01, 0.03, 0.1, 0.3, 1, 3, 10, 30, 100]</t>
        </is>
      </c>
      <c r="K560" t="inlineStr">
        <is>
          <t>clasen_boger_m15</t>
        </is>
      </c>
      <c r="L560" t="inlineStr">
        <is>
          <t>julia/experiments/tnwpaper/outputs/exptl_comparison</t>
        </is>
      </c>
      <c r="M560" t="inlineStr">
        <is>
          <t>ABANDONED: M^-1.5 c* convention (2026-06-22 verdict: keep KM)</t>
        </is>
      </c>
    </row>
    <row r="561">
      <c r="A561" t="b">
        <v>0</v>
      </c>
      <c r="B561" t="n">
        <v>560</v>
      </c>
      <c r="C561" t="inlineStr">
        <is>
          <t>C2</t>
        </is>
      </c>
      <c r="D561" t="inlineStr">
        <is>
          <t>caber</t>
        </is>
      </c>
      <c r="E561" t="n">
        <v>7682</v>
      </c>
      <c r="F561" t="n">
        <v>0.03</v>
      </c>
      <c r="G561" t="inlineStr">
        <is>
          <t>fenepm</t>
        </is>
      </c>
      <c r="H561" t="inlineStr">
        <is>
          <t>c2d2</t>
        </is>
      </c>
      <c r="I561" t="n">
        <v>0.005691</v>
      </c>
      <c r="J561" t="inlineStr">
        <is>
          <t>[0.01, 0.03, 0.1, 0.3, 1, 3, 10, 30, 100]</t>
        </is>
      </c>
      <c r="K561" t="inlineStr">
        <is>
          <t>clasen_boger_m15</t>
        </is>
      </c>
      <c r="L561" t="inlineStr">
        <is>
          <t>julia/experiments/tnwpaper/outputs/exptl_comparison</t>
        </is>
      </c>
      <c r="M561" t="inlineStr">
        <is>
          <t>ABANDONED: M^-1.5 c* convention (2026-06-22 verdict: keep KM)</t>
        </is>
      </c>
    </row>
    <row r="562">
      <c r="A562" t="b">
        <v>0</v>
      </c>
      <c r="B562" t="n">
        <v>561</v>
      </c>
      <c r="C562" t="inlineStr">
        <is>
          <t>C3</t>
        </is>
      </c>
      <c r="D562" t="inlineStr">
        <is>
          <t>styext</t>
        </is>
      </c>
      <c r="E562" t="n">
        <v>7682</v>
      </c>
      <c r="F562" t="n">
        <v>0.03</v>
      </c>
      <c r="G562" t="inlineStr">
        <is>
          <t>fenepm</t>
        </is>
      </c>
      <c r="H562" t="inlineStr">
        <is>
          <t>constant</t>
        </is>
      </c>
      <c r="I562" t="n">
        <v>0.017984</v>
      </c>
      <c r="J562" t="n">
        <v>1</v>
      </c>
      <c r="K562" t="inlineStr">
        <is>
          <t>clasen_boger_m15</t>
        </is>
      </c>
      <c r="L562" t="inlineStr">
        <is>
          <t>julia/experiments/tnwpaper/outputs/exptl_comparison</t>
        </is>
      </c>
      <c r="M562" t="inlineStr">
        <is>
          <t>ABANDONED: M^-1.5 c* convention (2026-06-22 verdict: keep KM)</t>
        </is>
      </c>
    </row>
    <row r="563">
      <c r="A563" t="b">
        <v>0</v>
      </c>
      <c r="B563" t="n">
        <v>562</v>
      </c>
      <c r="C563" t="inlineStr">
        <is>
          <t>C3</t>
        </is>
      </c>
      <c r="D563" t="inlineStr">
        <is>
          <t>styext</t>
        </is>
      </c>
      <c r="E563" t="n">
        <v>7682</v>
      </c>
      <c r="F563" t="n">
        <v>0.03</v>
      </c>
      <c r="G563" t="inlineStr">
        <is>
          <t>fenepm</t>
        </is>
      </c>
      <c r="H563" t="inlineStr">
        <is>
          <t>c2d2</t>
        </is>
      </c>
      <c r="I563" t="n">
        <v>0.017984</v>
      </c>
      <c r="J563" t="n">
        <v>1</v>
      </c>
      <c r="K563" t="inlineStr">
        <is>
          <t>clasen_boger_m15</t>
        </is>
      </c>
      <c r="L563" t="inlineStr">
        <is>
          <t>julia/experiments/tnwpaper/outputs/exptl_comparison</t>
        </is>
      </c>
      <c r="M563" t="inlineStr">
        <is>
          <t>ABANDONED: M^-1.5 c* convention (2026-06-22 verdict: keep KM)</t>
        </is>
      </c>
    </row>
    <row r="564">
      <c r="A564" t="b">
        <v>0</v>
      </c>
      <c r="B564" t="n">
        <v>563</v>
      </c>
      <c r="C564" t="inlineStr">
        <is>
          <t>C3</t>
        </is>
      </c>
      <c r="D564" t="inlineStr">
        <is>
          <t>caber</t>
        </is>
      </c>
      <c r="E564" t="n">
        <v>7682</v>
      </c>
      <c r="F564" t="n">
        <v>0.03</v>
      </c>
      <c r="G564" t="inlineStr">
        <is>
          <t>fenepm</t>
        </is>
      </c>
      <c r="H564" t="inlineStr">
        <is>
          <t>constant</t>
        </is>
      </c>
      <c r="I564" t="n">
        <v>0.017984</v>
      </c>
      <c r="J564" t="inlineStr">
        <is>
          <t>[0.01, 0.03, 0.1, 0.3, 1, 3, 10, 30, 100]</t>
        </is>
      </c>
      <c r="K564" t="inlineStr">
        <is>
          <t>clasen_boger_m15</t>
        </is>
      </c>
      <c r="L564" t="inlineStr">
        <is>
          <t>julia/experiments/tnwpaper/outputs/exptl_comparison</t>
        </is>
      </c>
      <c r="M564" t="inlineStr">
        <is>
          <t>ABANDONED: M^-1.5 c* convention (2026-06-22 verdict: keep KM)</t>
        </is>
      </c>
    </row>
    <row r="565">
      <c r="A565" t="b">
        <v>0</v>
      </c>
      <c r="B565" t="n">
        <v>564</v>
      </c>
      <c r="C565" t="inlineStr">
        <is>
          <t>C3</t>
        </is>
      </c>
      <c r="D565" t="inlineStr">
        <is>
          <t>caber</t>
        </is>
      </c>
      <c r="E565" t="n">
        <v>7682</v>
      </c>
      <c r="F565" t="n">
        <v>0.03</v>
      </c>
      <c r="G565" t="inlineStr">
        <is>
          <t>fenepm</t>
        </is>
      </c>
      <c r="H565" t="inlineStr">
        <is>
          <t>c2d2</t>
        </is>
      </c>
      <c r="I565" t="n">
        <v>0.017984</v>
      </c>
      <c r="J565" t="inlineStr">
        <is>
          <t>[0.01, 0.03, 0.1, 0.3, 1, 3, 10, 30, 100]</t>
        </is>
      </c>
      <c r="K565" t="inlineStr">
        <is>
          <t>clasen_boger_m15</t>
        </is>
      </c>
      <c r="L565" t="inlineStr">
        <is>
          <t>julia/experiments/tnwpaper/outputs/exptl_comparison</t>
        </is>
      </c>
      <c r="M565" t="inlineStr">
        <is>
          <t>ABANDONED: M^-1.5 c* convention (2026-06-22 verdict: keep KM)</t>
        </is>
      </c>
    </row>
    <row r="566">
      <c r="A566" t="b">
        <v>0</v>
      </c>
      <c r="B566" t="n">
        <v>565</v>
      </c>
      <c r="C566" t="inlineStr">
        <is>
          <t>C4</t>
        </is>
      </c>
      <c r="D566" t="inlineStr">
        <is>
          <t>styext</t>
        </is>
      </c>
      <c r="E566" t="n">
        <v>7682</v>
      </c>
      <c r="F566" t="n">
        <v>0.03</v>
      </c>
      <c r="G566" t="inlineStr">
        <is>
          <t>fenepm</t>
        </is>
      </c>
      <c r="H566" t="inlineStr">
        <is>
          <t>constant</t>
        </is>
      </c>
      <c r="I566" t="n">
        <v>0.056911</v>
      </c>
      <c r="J566" t="n">
        <v>1</v>
      </c>
      <c r="K566" t="inlineStr">
        <is>
          <t>clasen_boger_m15</t>
        </is>
      </c>
      <c r="L566" t="inlineStr">
        <is>
          <t>julia/experiments/tnwpaper/outputs/exptl_comparison</t>
        </is>
      </c>
      <c r="M566" t="inlineStr">
        <is>
          <t>ABANDONED: M^-1.5 c* convention (2026-06-22 verdict: keep KM)</t>
        </is>
      </c>
    </row>
    <row r="567">
      <c r="A567" t="b">
        <v>0</v>
      </c>
      <c r="B567" t="n">
        <v>566</v>
      </c>
      <c r="C567" t="inlineStr">
        <is>
          <t>C4</t>
        </is>
      </c>
      <c r="D567" t="inlineStr">
        <is>
          <t>styext</t>
        </is>
      </c>
      <c r="E567" t="n">
        <v>7682</v>
      </c>
      <c r="F567" t="n">
        <v>0.03</v>
      </c>
      <c r="G567" t="inlineStr">
        <is>
          <t>fenepm</t>
        </is>
      </c>
      <c r="H567" t="inlineStr">
        <is>
          <t>c2d2</t>
        </is>
      </c>
      <c r="I567" t="n">
        <v>0.056911</v>
      </c>
      <c r="J567" t="n">
        <v>1</v>
      </c>
      <c r="K567" t="inlineStr">
        <is>
          <t>clasen_boger_m15</t>
        </is>
      </c>
      <c r="L567" t="inlineStr">
        <is>
          <t>julia/experiments/tnwpaper/outputs/exptl_comparison</t>
        </is>
      </c>
      <c r="M567" t="inlineStr">
        <is>
          <t>ABANDONED: M^-1.5 c* convention (2026-06-22 verdict: keep KM)</t>
        </is>
      </c>
    </row>
    <row r="568">
      <c r="A568" t="b">
        <v>0</v>
      </c>
      <c r="B568" t="n">
        <v>567</v>
      </c>
      <c r="C568" t="inlineStr">
        <is>
          <t>C4</t>
        </is>
      </c>
      <c r="D568" t="inlineStr">
        <is>
          <t>caber</t>
        </is>
      </c>
      <c r="E568" t="n">
        <v>7682</v>
      </c>
      <c r="F568" t="n">
        <v>0.03</v>
      </c>
      <c r="G568" t="inlineStr">
        <is>
          <t>fenepm</t>
        </is>
      </c>
      <c r="H568" t="inlineStr">
        <is>
          <t>constant</t>
        </is>
      </c>
      <c r="I568" t="n">
        <v>0.056911</v>
      </c>
      <c r="J568" t="inlineStr">
        <is>
          <t>[0.01, 0.03, 0.1, 0.3, 1, 3, 10, 30, 100]</t>
        </is>
      </c>
      <c r="K568" t="inlineStr">
        <is>
          <t>clasen_boger_m15</t>
        </is>
      </c>
      <c r="L568" t="inlineStr">
        <is>
          <t>julia/experiments/tnwpaper/outputs/exptl_comparison</t>
        </is>
      </c>
      <c r="M568" t="inlineStr">
        <is>
          <t>ABANDONED: M^-1.5 c* convention (2026-06-22 verdict: keep KM)</t>
        </is>
      </c>
    </row>
    <row r="569">
      <c r="A569" t="b">
        <v>0</v>
      </c>
      <c r="B569" t="n">
        <v>568</v>
      </c>
      <c r="C569" t="inlineStr">
        <is>
          <t>C4</t>
        </is>
      </c>
      <c r="D569" t="inlineStr">
        <is>
          <t>caber</t>
        </is>
      </c>
      <c r="E569" t="n">
        <v>7682</v>
      </c>
      <c r="F569" t="n">
        <v>0.03</v>
      </c>
      <c r="G569" t="inlineStr">
        <is>
          <t>fenepm</t>
        </is>
      </c>
      <c r="H569" t="inlineStr">
        <is>
          <t>c2d2</t>
        </is>
      </c>
      <c r="I569" t="n">
        <v>0.056911</v>
      </c>
      <c r="J569" t="inlineStr">
        <is>
          <t>[0.01, 0.03, 0.1, 0.3, 1, 3, 10, 30, 100]</t>
        </is>
      </c>
      <c r="K569" t="inlineStr">
        <is>
          <t>clasen_boger_m15</t>
        </is>
      </c>
      <c r="L569" t="inlineStr">
        <is>
          <t>julia/experiments/tnwpaper/outputs/exptl_comparison</t>
        </is>
      </c>
      <c r="M569" t="inlineStr">
        <is>
          <t>ABANDONED: M^-1.5 c* convention (2026-06-22 verdict: keep KM)</t>
        </is>
      </c>
    </row>
    <row r="570">
      <c r="A570" t="b">
        <v>0</v>
      </c>
      <c r="B570" t="n">
        <v>569</v>
      </c>
      <c r="C570" t="inlineStr">
        <is>
          <t>C5</t>
        </is>
      </c>
      <c r="D570" t="inlineStr">
        <is>
          <t>styext</t>
        </is>
      </c>
      <c r="E570" t="n">
        <v>7682</v>
      </c>
      <c r="F570" t="n">
        <v>0.03</v>
      </c>
      <c r="G570" t="inlineStr">
        <is>
          <t>fenepm</t>
        </is>
      </c>
      <c r="H570" t="inlineStr">
        <is>
          <t>constant</t>
        </is>
      </c>
      <c r="I570" t="n">
        <v>0.179838</v>
      </c>
      <c r="J570" t="n">
        <v>1</v>
      </c>
      <c r="K570" t="inlineStr">
        <is>
          <t>clasen_boger_m15</t>
        </is>
      </c>
      <c r="L570" t="inlineStr">
        <is>
          <t>julia/experiments/tnwpaper/outputs/exptl_comparison</t>
        </is>
      </c>
      <c r="M570" t="inlineStr">
        <is>
          <t>ABANDONED: M^-1.5 c* convention (2026-06-22 verdict: keep KM)</t>
        </is>
      </c>
    </row>
    <row r="571">
      <c r="A571" t="b">
        <v>0</v>
      </c>
      <c r="B571" t="n">
        <v>570</v>
      </c>
      <c r="C571" t="inlineStr">
        <is>
          <t>C5</t>
        </is>
      </c>
      <c r="D571" t="inlineStr">
        <is>
          <t>styext</t>
        </is>
      </c>
      <c r="E571" t="n">
        <v>7682</v>
      </c>
      <c r="F571" t="n">
        <v>0.03</v>
      </c>
      <c r="G571" t="inlineStr">
        <is>
          <t>fenepm</t>
        </is>
      </c>
      <c r="H571" t="inlineStr">
        <is>
          <t>c2d2</t>
        </is>
      </c>
      <c r="I571" t="n">
        <v>0.179838</v>
      </c>
      <c r="J571" t="n">
        <v>1</v>
      </c>
      <c r="K571" t="inlineStr">
        <is>
          <t>clasen_boger_m15</t>
        </is>
      </c>
      <c r="L571" t="inlineStr">
        <is>
          <t>julia/experiments/tnwpaper/outputs/exptl_comparison</t>
        </is>
      </c>
      <c r="M571" t="inlineStr">
        <is>
          <t>ABANDONED: M^-1.5 c* convention (2026-06-22 verdict: keep KM)</t>
        </is>
      </c>
    </row>
    <row r="572">
      <c r="A572" t="b">
        <v>0</v>
      </c>
      <c r="B572" t="n">
        <v>571</v>
      </c>
      <c r="C572" t="inlineStr">
        <is>
          <t>C5</t>
        </is>
      </c>
      <c r="D572" t="inlineStr">
        <is>
          <t>caber</t>
        </is>
      </c>
      <c r="E572" t="n">
        <v>7682</v>
      </c>
      <c r="F572" t="n">
        <v>0.03</v>
      </c>
      <c r="G572" t="inlineStr">
        <is>
          <t>fenepm</t>
        </is>
      </c>
      <c r="H572" t="inlineStr">
        <is>
          <t>constant</t>
        </is>
      </c>
      <c r="I572" t="n">
        <v>0.179838</v>
      </c>
      <c r="J572" t="inlineStr">
        <is>
          <t>[0.01, 0.03, 0.1, 0.3, 1, 3, 10, 30, 100]</t>
        </is>
      </c>
      <c r="K572" t="inlineStr">
        <is>
          <t>clasen_boger_m15</t>
        </is>
      </c>
      <c r="L572" t="inlineStr">
        <is>
          <t>julia/experiments/tnwpaper/outputs/exptl_comparison</t>
        </is>
      </c>
      <c r="M572" t="inlineStr">
        <is>
          <t>ABANDONED: M^-1.5 c* convention (2026-06-22 verdict: keep KM)</t>
        </is>
      </c>
    </row>
    <row r="573">
      <c r="A573" t="b">
        <v>0</v>
      </c>
      <c r="B573" t="n">
        <v>572</v>
      </c>
      <c r="C573" t="inlineStr">
        <is>
          <t>C5</t>
        </is>
      </c>
      <c r="D573" t="inlineStr">
        <is>
          <t>caber</t>
        </is>
      </c>
      <c r="E573" t="n">
        <v>7682</v>
      </c>
      <c r="F573" t="n">
        <v>0.03</v>
      </c>
      <c r="G573" t="inlineStr">
        <is>
          <t>fenepm</t>
        </is>
      </c>
      <c r="H573" t="inlineStr">
        <is>
          <t>c2d2</t>
        </is>
      </c>
      <c r="I573" t="n">
        <v>0.179838</v>
      </c>
      <c r="J573" t="inlineStr">
        <is>
          <t>[0.01, 0.03, 0.1, 0.3, 1, 3, 10, 30, 100]</t>
        </is>
      </c>
      <c r="K573" t="inlineStr">
        <is>
          <t>clasen_boger_m15</t>
        </is>
      </c>
      <c r="L573" t="inlineStr">
        <is>
          <t>julia/experiments/tnwpaper/outputs/exptl_comparison</t>
        </is>
      </c>
      <c r="M573" t="inlineStr">
        <is>
          <t>ABANDONED: M^-1.5 c* convention (2026-06-22 verdict: keep KM)</t>
        </is>
      </c>
    </row>
    <row r="574">
      <c r="A574" t="b">
        <v>0</v>
      </c>
      <c r="B574" t="n">
        <v>573</v>
      </c>
      <c r="C574" t="inlineStr">
        <is>
          <t>D1</t>
        </is>
      </c>
      <c r="D574" t="inlineStr">
        <is>
          <t>styext</t>
        </is>
      </c>
      <c r="E574" t="n">
        <v>8086</v>
      </c>
      <c r="F574" t="n">
        <v>0.03</v>
      </c>
      <c r="G574" t="inlineStr">
        <is>
          <t>fenepm</t>
        </is>
      </c>
      <c r="H574" t="inlineStr">
        <is>
          <t>constant</t>
        </is>
      </c>
      <c r="I574" t="n">
        <v>0.006146</v>
      </c>
      <c r="J574" t="n">
        <v>1</v>
      </c>
      <c r="K574" t="inlineStr">
        <is>
          <t>clasen_boger_m15</t>
        </is>
      </c>
      <c r="L574" t="inlineStr">
        <is>
          <t>julia/experiments/tnwpaper/outputs/exptl_comparison</t>
        </is>
      </c>
      <c r="M574" t="inlineStr">
        <is>
          <t>ABANDONED: M^-1.5 c* convention (2026-06-22 verdict: keep KM)</t>
        </is>
      </c>
    </row>
    <row r="575">
      <c r="A575" t="b">
        <v>0</v>
      </c>
      <c r="B575" t="n">
        <v>574</v>
      </c>
      <c r="C575" t="inlineStr">
        <is>
          <t>D1</t>
        </is>
      </c>
      <c r="D575" t="inlineStr">
        <is>
          <t>styext</t>
        </is>
      </c>
      <c r="E575" t="n">
        <v>8086</v>
      </c>
      <c r="F575" t="n">
        <v>0.03</v>
      </c>
      <c r="G575" t="inlineStr">
        <is>
          <t>fenepm</t>
        </is>
      </c>
      <c r="H575" t="inlineStr">
        <is>
          <t>c2d2</t>
        </is>
      </c>
      <c r="I575" t="n">
        <v>0.006146</v>
      </c>
      <c r="J575" t="n">
        <v>1</v>
      </c>
      <c r="K575" t="inlineStr">
        <is>
          <t>clasen_boger_m15</t>
        </is>
      </c>
      <c r="L575" t="inlineStr">
        <is>
          <t>julia/experiments/tnwpaper/outputs/exptl_comparison</t>
        </is>
      </c>
      <c r="M575" t="inlineStr">
        <is>
          <t>ABANDONED: M^-1.5 c* convention (2026-06-22 verdict: keep KM)</t>
        </is>
      </c>
    </row>
    <row r="576">
      <c r="A576" t="b">
        <v>0</v>
      </c>
      <c r="B576" t="n">
        <v>575</v>
      </c>
      <c r="C576" t="inlineStr">
        <is>
          <t>D1</t>
        </is>
      </c>
      <c r="D576" t="inlineStr">
        <is>
          <t>caber</t>
        </is>
      </c>
      <c r="E576" t="n">
        <v>8086</v>
      </c>
      <c r="F576" t="n">
        <v>0.03</v>
      </c>
      <c r="G576" t="inlineStr">
        <is>
          <t>fenepm</t>
        </is>
      </c>
      <c r="H576" t="inlineStr">
        <is>
          <t>constant</t>
        </is>
      </c>
      <c r="I576" t="n">
        <v>0.006146</v>
      </c>
      <c r="J576" t="inlineStr">
        <is>
          <t>[0.01, 0.03, 0.1, 0.3, 1, 3, 10, 30, 100]</t>
        </is>
      </c>
      <c r="K576" t="inlineStr">
        <is>
          <t>clasen_boger_m15</t>
        </is>
      </c>
      <c r="L576" t="inlineStr">
        <is>
          <t>julia/experiments/tnwpaper/outputs/exptl_comparison</t>
        </is>
      </c>
      <c r="M576" t="inlineStr">
        <is>
          <t>ABANDONED: M^-1.5 c* convention (2026-06-22 verdict: keep KM)</t>
        </is>
      </c>
    </row>
    <row r="577">
      <c r="A577" t="b">
        <v>0</v>
      </c>
      <c r="B577" t="n">
        <v>576</v>
      </c>
      <c r="C577" t="inlineStr">
        <is>
          <t>D1</t>
        </is>
      </c>
      <c r="D577" t="inlineStr">
        <is>
          <t>caber</t>
        </is>
      </c>
      <c r="E577" t="n">
        <v>8086</v>
      </c>
      <c r="F577" t="n">
        <v>0.03</v>
      </c>
      <c r="G577" t="inlineStr">
        <is>
          <t>fenepm</t>
        </is>
      </c>
      <c r="H577" t="inlineStr">
        <is>
          <t>c2d2</t>
        </is>
      </c>
      <c r="I577" t="n">
        <v>0.006146</v>
      </c>
      <c r="J577" t="inlineStr">
        <is>
          <t>[0.01, 0.03, 0.1, 0.3, 1, 3, 10, 30, 100]</t>
        </is>
      </c>
      <c r="K577" t="inlineStr">
        <is>
          <t>clasen_boger_m15</t>
        </is>
      </c>
      <c r="L577" t="inlineStr">
        <is>
          <t>julia/experiments/tnwpaper/outputs/exptl_comparison</t>
        </is>
      </c>
      <c r="M577" t="inlineStr">
        <is>
          <t>ABANDONED: M^-1.5 c* convention (2026-06-22 verdict: keep KM)</t>
        </is>
      </c>
    </row>
    <row r="578">
      <c r="A578" t="b">
        <v>0</v>
      </c>
      <c r="B578" t="n">
        <v>577</v>
      </c>
      <c r="C578" t="inlineStr">
        <is>
          <t>D2</t>
        </is>
      </c>
      <c r="D578" t="inlineStr">
        <is>
          <t>styext</t>
        </is>
      </c>
      <c r="E578" t="n">
        <v>8086</v>
      </c>
      <c r="F578" t="n">
        <v>0.03</v>
      </c>
      <c r="G578" t="inlineStr">
        <is>
          <t>fenepm</t>
        </is>
      </c>
      <c r="H578" t="inlineStr">
        <is>
          <t>constant</t>
        </is>
      </c>
      <c r="I578" t="n">
        <v>0.030731</v>
      </c>
      <c r="J578" t="n">
        <v>1</v>
      </c>
      <c r="K578" t="inlineStr">
        <is>
          <t>clasen_boger_m15</t>
        </is>
      </c>
      <c r="L578" t="inlineStr">
        <is>
          <t>julia/experiments/tnwpaper/outputs/exptl_comparison</t>
        </is>
      </c>
      <c r="M578" t="inlineStr">
        <is>
          <t>ABANDONED: M^-1.5 c* convention (2026-06-22 verdict: keep KM)</t>
        </is>
      </c>
    </row>
    <row r="579">
      <c r="A579" t="b">
        <v>0</v>
      </c>
      <c r="B579" t="n">
        <v>578</v>
      </c>
      <c r="C579" t="inlineStr">
        <is>
          <t>D2</t>
        </is>
      </c>
      <c r="D579" t="inlineStr">
        <is>
          <t>styext</t>
        </is>
      </c>
      <c r="E579" t="n">
        <v>8086</v>
      </c>
      <c r="F579" t="n">
        <v>0.03</v>
      </c>
      <c r="G579" t="inlineStr">
        <is>
          <t>fenepm</t>
        </is>
      </c>
      <c r="H579" t="inlineStr">
        <is>
          <t>c2d2</t>
        </is>
      </c>
      <c r="I579" t="n">
        <v>0.030731</v>
      </c>
      <c r="J579" t="n">
        <v>1</v>
      </c>
      <c r="K579" t="inlineStr">
        <is>
          <t>clasen_boger_m15</t>
        </is>
      </c>
      <c r="L579" t="inlineStr">
        <is>
          <t>julia/experiments/tnwpaper/outputs/exptl_comparison</t>
        </is>
      </c>
      <c r="M579" t="inlineStr">
        <is>
          <t>ABANDONED: M^-1.5 c* convention (2026-06-22 verdict: keep KM)</t>
        </is>
      </c>
    </row>
    <row r="580">
      <c r="A580" t="b">
        <v>0</v>
      </c>
      <c r="B580" t="n">
        <v>579</v>
      </c>
      <c r="C580" t="inlineStr">
        <is>
          <t>D2</t>
        </is>
      </c>
      <c r="D580" t="inlineStr">
        <is>
          <t>caber</t>
        </is>
      </c>
      <c r="E580" t="n">
        <v>8086</v>
      </c>
      <c r="F580" t="n">
        <v>0.03</v>
      </c>
      <c r="G580" t="inlineStr">
        <is>
          <t>fenepm</t>
        </is>
      </c>
      <c r="H580" t="inlineStr">
        <is>
          <t>constant</t>
        </is>
      </c>
      <c r="I580" t="n">
        <v>0.030731</v>
      </c>
      <c r="J580" t="inlineStr">
        <is>
          <t>[0.01, 0.03, 0.1, 0.3, 1, 3, 10, 30, 100]</t>
        </is>
      </c>
      <c r="K580" t="inlineStr">
        <is>
          <t>clasen_boger_m15</t>
        </is>
      </c>
      <c r="L580" t="inlineStr">
        <is>
          <t>julia/experiments/tnwpaper/outputs/exptl_comparison</t>
        </is>
      </c>
      <c r="M580" t="inlineStr">
        <is>
          <t>ABANDONED: M^-1.5 c* convention (2026-06-22 verdict: keep KM)</t>
        </is>
      </c>
    </row>
    <row r="581">
      <c r="A581" t="b">
        <v>0</v>
      </c>
      <c r="B581" t="n">
        <v>580</v>
      </c>
      <c r="C581" t="inlineStr">
        <is>
          <t>D2</t>
        </is>
      </c>
      <c r="D581" t="inlineStr">
        <is>
          <t>caber</t>
        </is>
      </c>
      <c r="E581" t="n">
        <v>8086</v>
      </c>
      <c r="F581" t="n">
        <v>0.03</v>
      </c>
      <c r="G581" t="inlineStr">
        <is>
          <t>fenepm</t>
        </is>
      </c>
      <c r="H581" t="inlineStr">
        <is>
          <t>c2d2</t>
        </is>
      </c>
      <c r="I581" t="n">
        <v>0.030731</v>
      </c>
      <c r="J581" t="inlineStr">
        <is>
          <t>[0.01, 0.03, 0.1, 0.3, 1, 3, 10, 30, 100]</t>
        </is>
      </c>
      <c r="K581" t="inlineStr">
        <is>
          <t>clasen_boger_m15</t>
        </is>
      </c>
      <c r="L581" t="inlineStr">
        <is>
          <t>julia/experiments/tnwpaper/outputs/exptl_comparison</t>
        </is>
      </c>
      <c r="M581" t="inlineStr">
        <is>
          <t>ABANDONED: M^-1.5 c* convention (2026-06-22 verdict: keep KM)</t>
        </is>
      </c>
    </row>
    <row r="582">
      <c r="A582" t="b">
        <v>0</v>
      </c>
      <c r="B582" t="n">
        <v>581</v>
      </c>
      <c r="C582" t="inlineStr">
        <is>
          <t>D3</t>
        </is>
      </c>
      <c r="D582" t="inlineStr">
        <is>
          <t>styext</t>
        </is>
      </c>
      <c r="E582" t="n">
        <v>8086</v>
      </c>
      <c r="F582" t="n">
        <v>0.03</v>
      </c>
      <c r="G582" t="inlineStr">
        <is>
          <t>fenepm</t>
        </is>
      </c>
      <c r="H582" t="inlineStr">
        <is>
          <t>constant</t>
        </is>
      </c>
      <c r="I582" t="n">
        <v>0.061462</v>
      </c>
      <c r="J582" t="n">
        <v>1</v>
      </c>
      <c r="K582" t="inlineStr">
        <is>
          <t>clasen_boger_m15</t>
        </is>
      </c>
      <c r="L582" t="inlineStr">
        <is>
          <t>julia/experiments/tnwpaper/outputs/exptl_comparison</t>
        </is>
      </c>
      <c r="M582" t="inlineStr">
        <is>
          <t>ABANDONED: M^-1.5 c* convention (2026-06-22 verdict: keep KM)</t>
        </is>
      </c>
    </row>
    <row r="583">
      <c r="A583" t="b">
        <v>0</v>
      </c>
      <c r="B583" t="n">
        <v>582</v>
      </c>
      <c r="C583" t="inlineStr">
        <is>
          <t>D3</t>
        </is>
      </c>
      <c r="D583" t="inlineStr">
        <is>
          <t>styext</t>
        </is>
      </c>
      <c r="E583" t="n">
        <v>8086</v>
      </c>
      <c r="F583" t="n">
        <v>0.03</v>
      </c>
      <c r="G583" t="inlineStr">
        <is>
          <t>fenepm</t>
        </is>
      </c>
      <c r="H583" t="inlineStr">
        <is>
          <t>c2d2</t>
        </is>
      </c>
      <c r="I583" t="n">
        <v>0.061462</v>
      </c>
      <c r="J583" t="n">
        <v>1</v>
      </c>
      <c r="K583" t="inlineStr">
        <is>
          <t>clasen_boger_m15</t>
        </is>
      </c>
      <c r="L583" t="inlineStr">
        <is>
          <t>julia/experiments/tnwpaper/outputs/exptl_comparison</t>
        </is>
      </c>
      <c r="M583" t="inlineStr">
        <is>
          <t>ABANDONED: M^-1.5 c* convention (2026-06-22 verdict: keep KM)</t>
        </is>
      </c>
    </row>
    <row r="584">
      <c r="A584" t="b">
        <v>0</v>
      </c>
      <c r="B584" t="n">
        <v>583</v>
      </c>
      <c r="C584" t="inlineStr">
        <is>
          <t>D3</t>
        </is>
      </c>
      <c r="D584" t="inlineStr">
        <is>
          <t>caber</t>
        </is>
      </c>
      <c r="E584" t="n">
        <v>8086</v>
      </c>
      <c r="F584" t="n">
        <v>0.03</v>
      </c>
      <c r="G584" t="inlineStr">
        <is>
          <t>fenepm</t>
        </is>
      </c>
      <c r="H584" t="inlineStr">
        <is>
          <t>constant</t>
        </is>
      </c>
      <c r="I584" t="n">
        <v>0.061462</v>
      </c>
      <c r="J584" t="inlineStr">
        <is>
          <t>[0.01, 0.03, 0.1, 0.3, 1, 3, 10, 30, 100]</t>
        </is>
      </c>
      <c r="K584" t="inlineStr">
        <is>
          <t>clasen_boger_m15</t>
        </is>
      </c>
      <c r="L584" t="inlineStr">
        <is>
          <t>julia/experiments/tnwpaper/outputs/exptl_comparison</t>
        </is>
      </c>
      <c r="M584" t="inlineStr">
        <is>
          <t>ABANDONED: M^-1.5 c* convention (2026-06-22 verdict: keep KM)</t>
        </is>
      </c>
    </row>
    <row r="585">
      <c r="A585" t="b">
        <v>0</v>
      </c>
      <c r="B585" t="n">
        <v>584</v>
      </c>
      <c r="C585" t="inlineStr">
        <is>
          <t>D3</t>
        </is>
      </c>
      <c r="D585" t="inlineStr">
        <is>
          <t>caber</t>
        </is>
      </c>
      <c r="E585" t="n">
        <v>8086</v>
      </c>
      <c r="F585" t="n">
        <v>0.03</v>
      </c>
      <c r="G585" t="inlineStr">
        <is>
          <t>fenepm</t>
        </is>
      </c>
      <c r="H585" t="inlineStr">
        <is>
          <t>c2d2</t>
        </is>
      </c>
      <c r="I585" t="n">
        <v>0.061462</v>
      </c>
      <c r="J585" t="inlineStr">
        <is>
          <t>[0.01, 0.03, 0.1, 0.3, 1, 3, 10, 30, 100]</t>
        </is>
      </c>
      <c r="K585" t="inlineStr">
        <is>
          <t>clasen_boger_m15</t>
        </is>
      </c>
      <c r="L585" t="inlineStr">
        <is>
          <t>julia/experiments/tnwpaper/outputs/exptl_comparison</t>
        </is>
      </c>
      <c r="M585" t="inlineStr">
        <is>
          <t>ABANDONED: M^-1.5 c* convention (2026-06-22 verdict: keep KM)</t>
        </is>
      </c>
    </row>
    <row r="586">
      <c r="A586" t="b">
        <v>0</v>
      </c>
      <c r="B586" t="n">
        <v>585</v>
      </c>
      <c r="C586" t="inlineStr">
        <is>
          <t>D4</t>
        </is>
      </c>
      <c r="D586" t="inlineStr">
        <is>
          <t>styext</t>
        </is>
      </c>
      <c r="E586" t="n">
        <v>8086</v>
      </c>
      <c r="F586" t="n">
        <v>0.03</v>
      </c>
      <c r="G586" t="inlineStr">
        <is>
          <t>fenepm</t>
        </is>
      </c>
      <c r="H586" t="inlineStr">
        <is>
          <t>constant</t>
        </is>
      </c>
      <c r="I586" t="n">
        <v>0.153656</v>
      </c>
      <c r="J586" t="n">
        <v>1</v>
      </c>
      <c r="K586" t="inlineStr">
        <is>
          <t>clasen_boger_m15</t>
        </is>
      </c>
      <c r="L586" t="inlineStr">
        <is>
          <t>julia/experiments/tnwpaper/outputs/exptl_comparison</t>
        </is>
      </c>
      <c r="M586" t="inlineStr">
        <is>
          <t>ABANDONED: M^-1.5 c* convention (2026-06-22 verdict: keep KM)</t>
        </is>
      </c>
    </row>
    <row r="587">
      <c r="A587" t="b">
        <v>0</v>
      </c>
      <c r="B587" t="n">
        <v>586</v>
      </c>
      <c r="C587" t="inlineStr">
        <is>
          <t>D4</t>
        </is>
      </c>
      <c r="D587" t="inlineStr">
        <is>
          <t>styext</t>
        </is>
      </c>
      <c r="E587" t="n">
        <v>8086</v>
      </c>
      <c r="F587" t="n">
        <v>0.03</v>
      </c>
      <c r="G587" t="inlineStr">
        <is>
          <t>fenepm</t>
        </is>
      </c>
      <c r="H587" t="inlineStr">
        <is>
          <t>c2d2</t>
        </is>
      </c>
      <c r="I587" t="n">
        <v>0.153656</v>
      </c>
      <c r="J587" t="n">
        <v>1</v>
      </c>
      <c r="K587" t="inlineStr">
        <is>
          <t>clasen_boger_m15</t>
        </is>
      </c>
      <c r="L587" t="inlineStr">
        <is>
          <t>julia/experiments/tnwpaper/outputs/exptl_comparison</t>
        </is>
      </c>
      <c r="M587" t="inlineStr">
        <is>
          <t>ABANDONED: M^-1.5 c* convention (2026-06-22 verdict: keep KM)</t>
        </is>
      </c>
    </row>
    <row r="588">
      <c r="A588" t="b">
        <v>0</v>
      </c>
      <c r="B588" t="n">
        <v>587</v>
      </c>
      <c r="C588" t="inlineStr">
        <is>
          <t>D4</t>
        </is>
      </c>
      <c r="D588" t="inlineStr">
        <is>
          <t>caber</t>
        </is>
      </c>
      <c r="E588" t="n">
        <v>8086</v>
      </c>
      <c r="F588" t="n">
        <v>0.03</v>
      </c>
      <c r="G588" t="inlineStr">
        <is>
          <t>fenepm</t>
        </is>
      </c>
      <c r="H588" t="inlineStr">
        <is>
          <t>constant</t>
        </is>
      </c>
      <c r="I588" t="n">
        <v>0.153656</v>
      </c>
      <c r="J588" t="inlineStr">
        <is>
          <t>[0.01, 0.03, 0.1, 0.3, 1, 3, 10, 30, 100]</t>
        </is>
      </c>
      <c r="K588" t="inlineStr">
        <is>
          <t>clasen_boger_m15</t>
        </is>
      </c>
      <c r="L588" t="inlineStr">
        <is>
          <t>julia/experiments/tnwpaper/outputs/exptl_comparison</t>
        </is>
      </c>
      <c r="M588" t="inlineStr">
        <is>
          <t>ABANDONED: M^-1.5 c* convention (2026-06-22 verdict: keep KM)</t>
        </is>
      </c>
    </row>
    <row r="589">
      <c r="A589" t="b">
        <v>0</v>
      </c>
      <c r="B589" t="n">
        <v>588</v>
      </c>
      <c r="C589" t="inlineStr">
        <is>
          <t>D4</t>
        </is>
      </c>
      <c r="D589" t="inlineStr">
        <is>
          <t>caber</t>
        </is>
      </c>
      <c r="E589" t="n">
        <v>8086</v>
      </c>
      <c r="F589" t="n">
        <v>0.03</v>
      </c>
      <c r="G589" t="inlineStr">
        <is>
          <t>fenepm</t>
        </is>
      </c>
      <c r="H589" t="inlineStr">
        <is>
          <t>c2d2</t>
        </is>
      </c>
      <c r="I589" t="n">
        <v>0.153656</v>
      </c>
      <c r="J589" t="inlineStr">
        <is>
          <t>[0.01, 0.03, 0.1, 0.3, 1, 3, 10, 30, 100]</t>
        </is>
      </c>
      <c r="K589" t="inlineStr">
        <is>
          <t>clasen_boger_m15</t>
        </is>
      </c>
      <c r="L589" t="inlineStr">
        <is>
          <t>julia/experiments/tnwpaper/outputs/exptl_comparison</t>
        </is>
      </c>
      <c r="M589" t="inlineStr">
        <is>
          <t>ABANDONED: M^-1.5 c* convention (2026-06-22 verdict: keep KM)</t>
        </is>
      </c>
    </row>
    <row r="590">
      <c r="A590" t="b">
        <v>0</v>
      </c>
      <c r="B590" t="n">
        <v>589</v>
      </c>
      <c r="C590" t="inlineStr">
        <is>
          <t>D5</t>
        </is>
      </c>
      <c r="D590" t="inlineStr">
        <is>
          <t>styext</t>
        </is>
      </c>
      <c r="E590" t="n">
        <v>8086</v>
      </c>
      <c r="F590" t="n">
        <v>0.03</v>
      </c>
      <c r="G590" t="inlineStr">
        <is>
          <t>fenepm</t>
        </is>
      </c>
      <c r="H590" t="inlineStr">
        <is>
          <t>constant</t>
        </is>
      </c>
      <c r="I590" t="n">
        <v>0.460968</v>
      </c>
      <c r="J590" t="n">
        <v>1</v>
      </c>
      <c r="K590" t="inlineStr">
        <is>
          <t>clasen_boger_m15</t>
        </is>
      </c>
      <c r="L590" t="inlineStr">
        <is>
          <t>julia/experiments/tnwpaper/outputs/exptl_comparison</t>
        </is>
      </c>
      <c r="M590" t="inlineStr">
        <is>
          <t>ABANDONED: M^-1.5 c* convention (2026-06-22 verdict: keep KM)</t>
        </is>
      </c>
    </row>
    <row r="591">
      <c r="A591" t="b">
        <v>0</v>
      </c>
      <c r="B591" t="n">
        <v>590</v>
      </c>
      <c r="C591" t="inlineStr">
        <is>
          <t>D5</t>
        </is>
      </c>
      <c r="D591" t="inlineStr">
        <is>
          <t>styext</t>
        </is>
      </c>
      <c r="E591" t="n">
        <v>8086</v>
      </c>
      <c r="F591" t="n">
        <v>0.03</v>
      </c>
      <c r="G591" t="inlineStr">
        <is>
          <t>fenepm</t>
        </is>
      </c>
      <c r="H591" t="inlineStr">
        <is>
          <t>c2d2</t>
        </is>
      </c>
      <c r="I591" t="n">
        <v>0.460968</v>
      </c>
      <c r="J591" t="n">
        <v>1</v>
      </c>
      <c r="K591" t="inlineStr">
        <is>
          <t>clasen_boger_m15</t>
        </is>
      </c>
      <c r="L591" t="inlineStr">
        <is>
          <t>julia/experiments/tnwpaper/outputs/exptl_comparison</t>
        </is>
      </c>
      <c r="M591" t="inlineStr">
        <is>
          <t>ABANDONED: M^-1.5 c* convention (2026-06-22 verdict: keep KM)</t>
        </is>
      </c>
    </row>
    <row r="592">
      <c r="A592" t="b">
        <v>0</v>
      </c>
      <c r="B592" t="n">
        <v>591</v>
      </c>
      <c r="C592" t="inlineStr">
        <is>
          <t>D5</t>
        </is>
      </c>
      <c r="D592" t="inlineStr">
        <is>
          <t>caber</t>
        </is>
      </c>
      <c r="E592" t="n">
        <v>8086</v>
      </c>
      <c r="F592" t="n">
        <v>0.03</v>
      </c>
      <c r="G592" t="inlineStr">
        <is>
          <t>fenepm</t>
        </is>
      </c>
      <c r="H592" t="inlineStr">
        <is>
          <t>constant</t>
        </is>
      </c>
      <c r="I592" t="n">
        <v>0.460968</v>
      </c>
      <c r="J592" t="inlineStr">
        <is>
          <t>[0.01, 0.03, 0.1, 0.3, 1, 3, 10, 30, 100]</t>
        </is>
      </c>
      <c r="K592" t="inlineStr">
        <is>
          <t>clasen_boger_m15</t>
        </is>
      </c>
      <c r="L592" t="inlineStr">
        <is>
          <t>julia/experiments/tnwpaper/outputs/exptl_comparison</t>
        </is>
      </c>
      <c r="M592" t="inlineStr">
        <is>
          <t>ABANDONED: M^-1.5 c* convention (2026-06-22 verdict: keep KM)</t>
        </is>
      </c>
    </row>
    <row r="593">
      <c r="A593" t="b">
        <v>0</v>
      </c>
      <c r="B593" t="n">
        <v>592</v>
      </c>
      <c r="C593" t="inlineStr">
        <is>
          <t>D5</t>
        </is>
      </c>
      <c r="D593" t="inlineStr">
        <is>
          <t>caber</t>
        </is>
      </c>
      <c r="E593" t="n">
        <v>8086</v>
      </c>
      <c r="F593" t="n">
        <v>0.03</v>
      </c>
      <c r="G593" t="inlineStr">
        <is>
          <t>fenepm</t>
        </is>
      </c>
      <c r="H593" t="inlineStr">
        <is>
          <t>c2d2</t>
        </is>
      </c>
      <c r="I593" t="n">
        <v>0.460968</v>
      </c>
      <c r="J593" t="inlineStr">
        <is>
          <t>[0.01, 0.03, 0.1, 0.3, 1, 3, 10, 30, 100]</t>
        </is>
      </c>
      <c r="K593" t="inlineStr">
        <is>
          <t>clasen_boger_m15</t>
        </is>
      </c>
      <c r="L593" t="inlineStr">
        <is>
          <t>julia/experiments/tnwpaper/outputs/exptl_comparison</t>
        </is>
      </c>
      <c r="M593" t="inlineStr">
        <is>
          <t>ABANDONED: M^-1.5 c* convention (2026-06-22 verdict: keep KM)</t>
        </is>
      </c>
    </row>
    <row r="594">
      <c r="A594" t="b">
        <v>0</v>
      </c>
      <c r="B594" t="n">
        <v>593</v>
      </c>
      <c r="C594" t="inlineStr">
        <is>
          <t>A1</t>
        </is>
      </c>
      <c r="D594" t="inlineStr">
        <is>
          <t>styext</t>
        </is>
      </c>
      <c r="E594" t="n">
        <v>2426</v>
      </c>
      <c r="F594" t="n">
        <v>0.04</v>
      </c>
      <c r="G594" t="inlineStr">
        <is>
          <t>fenepm</t>
        </is>
      </c>
      <c r="H594" t="inlineStr">
        <is>
          <t>constant</t>
        </is>
      </c>
      <c r="I594" t="n">
        <v>0.00101</v>
      </c>
      <c r="J594" t="n">
        <v>1</v>
      </c>
      <c r="K594" t="inlineStr">
        <is>
          <t>clasen_boger_m15</t>
        </is>
      </c>
      <c r="L594" t="inlineStr">
        <is>
          <t>julia/experiments/tnwpaper/outputs/exptl_comparison</t>
        </is>
      </c>
      <c r="M594" t="inlineStr">
        <is>
          <t>ABANDONED: M^-1.5 c* convention</t>
        </is>
      </c>
    </row>
    <row r="595">
      <c r="A595" t="b">
        <v>0</v>
      </c>
      <c r="B595" t="n">
        <v>594</v>
      </c>
      <c r="C595" t="inlineStr">
        <is>
          <t>A1</t>
        </is>
      </c>
      <c r="D595" t="inlineStr">
        <is>
          <t>styext</t>
        </is>
      </c>
      <c r="E595" t="n">
        <v>2426</v>
      </c>
      <c r="F595" t="n">
        <v>0.04</v>
      </c>
      <c r="G595" t="inlineStr">
        <is>
          <t>fenepm</t>
        </is>
      </c>
      <c r="H595" t="inlineStr">
        <is>
          <t>c2d2</t>
        </is>
      </c>
      <c r="I595" t="n">
        <v>0.00101</v>
      </c>
      <c r="J595" t="n">
        <v>1</v>
      </c>
      <c r="K595" t="inlineStr">
        <is>
          <t>clasen_boger_m15</t>
        </is>
      </c>
      <c r="L595" t="inlineStr">
        <is>
          <t>julia/experiments/tnwpaper/outputs/exptl_comparison</t>
        </is>
      </c>
      <c r="M595" t="inlineStr">
        <is>
          <t>ABANDONED: M^-1.5 c* convention</t>
        </is>
      </c>
    </row>
    <row r="596">
      <c r="A596" t="b">
        <v>0</v>
      </c>
      <c r="B596" t="n">
        <v>595</v>
      </c>
      <c r="C596" t="inlineStr">
        <is>
          <t>A1</t>
        </is>
      </c>
      <c r="D596" t="inlineStr">
        <is>
          <t>caber</t>
        </is>
      </c>
      <c r="E596" t="n">
        <v>2426</v>
      </c>
      <c r="F596" t="n">
        <v>0.04</v>
      </c>
      <c r="G596" t="inlineStr">
        <is>
          <t>fenepm</t>
        </is>
      </c>
      <c r="H596" t="inlineStr">
        <is>
          <t>constant</t>
        </is>
      </c>
      <c r="I596" t="n">
        <v>0.00101</v>
      </c>
      <c r="J596" t="inlineStr">
        <is>
          <t>[0.01, 0.03, 0.1, 0.3, 1, 3, 10, 30, 100]</t>
        </is>
      </c>
      <c r="K596" t="inlineStr">
        <is>
          <t>clasen_boger_m15</t>
        </is>
      </c>
      <c r="L596" t="inlineStr">
        <is>
          <t>julia/experiments/tnwpaper/outputs/exptl_comparison</t>
        </is>
      </c>
      <c r="M596" t="inlineStr">
        <is>
          <t>ABANDONED: M^-1.5 c* convention</t>
        </is>
      </c>
    </row>
    <row r="597">
      <c r="A597" t="b">
        <v>0</v>
      </c>
      <c r="B597" t="n">
        <v>596</v>
      </c>
      <c r="C597" t="inlineStr">
        <is>
          <t>A1</t>
        </is>
      </c>
      <c r="D597" t="inlineStr">
        <is>
          <t>caber</t>
        </is>
      </c>
      <c r="E597" t="n">
        <v>2426</v>
      </c>
      <c r="F597" t="n">
        <v>0.04</v>
      </c>
      <c r="G597" t="inlineStr">
        <is>
          <t>fenepm</t>
        </is>
      </c>
      <c r="H597" t="inlineStr">
        <is>
          <t>c2d2</t>
        </is>
      </c>
      <c r="I597" t="n">
        <v>0.00101</v>
      </c>
      <c r="J597" t="inlineStr">
        <is>
          <t>[0.01, 0.03, 0.1, 0.3, 1, 3, 10, 30, 100]</t>
        </is>
      </c>
      <c r="K597" t="inlineStr">
        <is>
          <t>clasen_boger_m15</t>
        </is>
      </c>
      <c r="L597" t="inlineStr">
        <is>
          <t>julia/experiments/tnwpaper/outputs/exptl_comparison</t>
        </is>
      </c>
      <c r="M597" t="inlineStr">
        <is>
          <t>ABANDONED: M^-1.5 c* convention</t>
        </is>
      </c>
    </row>
    <row r="598">
      <c r="A598" t="b">
        <v>0</v>
      </c>
      <c r="B598" t="n">
        <v>597</v>
      </c>
      <c r="C598" t="inlineStr">
        <is>
          <t>A2</t>
        </is>
      </c>
      <c r="D598" t="inlineStr">
        <is>
          <t>styext</t>
        </is>
      </c>
      <c r="E598" t="n">
        <v>2426</v>
      </c>
      <c r="F598" t="n">
        <v>0.04</v>
      </c>
      <c r="G598" t="inlineStr">
        <is>
          <t>fenepm</t>
        </is>
      </c>
      <c r="H598" t="inlineStr">
        <is>
          <t>constant</t>
        </is>
      </c>
      <c r="I598" t="n">
        <v>0.00505</v>
      </c>
      <c r="J598" t="n">
        <v>1</v>
      </c>
      <c r="K598" t="inlineStr">
        <is>
          <t>clasen_boger_m15</t>
        </is>
      </c>
      <c r="L598" t="inlineStr">
        <is>
          <t>julia/experiments/tnwpaper/outputs/exptl_comparison</t>
        </is>
      </c>
      <c r="M598" t="inlineStr">
        <is>
          <t>ABANDONED: M^-1.5 c* convention</t>
        </is>
      </c>
    </row>
    <row r="599">
      <c r="A599" t="b">
        <v>0</v>
      </c>
      <c r="B599" t="n">
        <v>598</v>
      </c>
      <c r="C599" t="inlineStr">
        <is>
          <t>A2</t>
        </is>
      </c>
      <c r="D599" t="inlineStr">
        <is>
          <t>styext</t>
        </is>
      </c>
      <c r="E599" t="n">
        <v>2426</v>
      </c>
      <c r="F599" t="n">
        <v>0.04</v>
      </c>
      <c r="G599" t="inlineStr">
        <is>
          <t>fenepm</t>
        </is>
      </c>
      <c r="H599" t="inlineStr">
        <is>
          <t>c2d2</t>
        </is>
      </c>
      <c r="I599" t="n">
        <v>0.00505</v>
      </c>
      <c r="J599" t="n">
        <v>1</v>
      </c>
      <c r="K599" t="inlineStr">
        <is>
          <t>clasen_boger_m15</t>
        </is>
      </c>
      <c r="L599" t="inlineStr">
        <is>
          <t>julia/experiments/tnwpaper/outputs/exptl_comparison</t>
        </is>
      </c>
      <c r="M599" t="inlineStr">
        <is>
          <t>ABANDONED: M^-1.5 c* convention</t>
        </is>
      </c>
    </row>
    <row r="600">
      <c r="A600" t="b">
        <v>0</v>
      </c>
      <c r="B600" t="n">
        <v>599</v>
      </c>
      <c r="C600" t="inlineStr">
        <is>
          <t>A2</t>
        </is>
      </c>
      <c r="D600" t="inlineStr">
        <is>
          <t>caber</t>
        </is>
      </c>
      <c r="E600" t="n">
        <v>2426</v>
      </c>
      <c r="F600" t="n">
        <v>0.04</v>
      </c>
      <c r="G600" t="inlineStr">
        <is>
          <t>fenepm</t>
        </is>
      </c>
      <c r="H600" t="inlineStr">
        <is>
          <t>constant</t>
        </is>
      </c>
      <c r="I600" t="n">
        <v>0.00505</v>
      </c>
      <c r="J600" t="inlineStr">
        <is>
          <t>[0.01, 0.03, 0.1, 0.3, 1, 3, 10, 30, 100]</t>
        </is>
      </c>
      <c r="K600" t="inlineStr">
        <is>
          <t>clasen_boger_m15</t>
        </is>
      </c>
      <c r="L600" t="inlineStr">
        <is>
          <t>julia/experiments/tnwpaper/outputs/exptl_comparison</t>
        </is>
      </c>
      <c r="M600" t="inlineStr">
        <is>
          <t>ABANDONED: M^-1.5 c* convention</t>
        </is>
      </c>
    </row>
    <row r="601">
      <c r="A601" t="b">
        <v>0</v>
      </c>
      <c r="B601" t="n">
        <v>600</v>
      </c>
      <c r="C601" t="inlineStr">
        <is>
          <t>A2</t>
        </is>
      </c>
      <c r="D601" t="inlineStr">
        <is>
          <t>caber</t>
        </is>
      </c>
      <c r="E601" t="n">
        <v>2426</v>
      </c>
      <c r="F601" t="n">
        <v>0.04</v>
      </c>
      <c r="G601" t="inlineStr">
        <is>
          <t>fenepm</t>
        </is>
      </c>
      <c r="H601" t="inlineStr">
        <is>
          <t>c2d2</t>
        </is>
      </c>
      <c r="I601" t="n">
        <v>0.00505</v>
      </c>
      <c r="J601" t="inlineStr">
        <is>
          <t>[0.01, 0.03, 0.1, 0.3, 1, 3, 10, 30, 100]</t>
        </is>
      </c>
      <c r="K601" t="inlineStr">
        <is>
          <t>clasen_boger_m15</t>
        </is>
      </c>
      <c r="L601" t="inlineStr">
        <is>
          <t>julia/experiments/tnwpaper/outputs/exptl_comparison</t>
        </is>
      </c>
      <c r="M601" t="inlineStr">
        <is>
          <t>ABANDONED: M^-1.5 c* convention</t>
        </is>
      </c>
    </row>
    <row r="602">
      <c r="A602" t="b">
        <v>0</v>
      </c>
      <c r="B602" t="n">
        <v>601</v>
      </c>
      <c r="C602" t="inlineStr">
        <is>
          <t>A3</t>
        </is>
      </c>
      <c r="D602" t="inlineStr">
        <is>
          <t>styext</t>
        </is>
      </c>
      <c r="E602" t="n">
        <v>2426</v>
      </c>
      <c r="F602" t="n">
        <v>0.04</v>
      </c>
      <c r="G602" t="inlineStr">
        <is>
          <t>fenepm</t>
        </is>
      </c>
      <c r="H602" t="inlineStr">
        <is>
          <t>constant</t>
        </is>
      </c>
      <c r="I602" t="n">
        <v>0.010099</v>
      </c>
      <c r="J602" t="n">
        <v>1</v>
      </c>
      <c r="K602" t="inlineStr">
        <is>
          <t>clasen_boger_m15</t>
        </is>
      </c>
      <c r="L602" t="inlineStr">
        <is>
          <t>julia/experiments/tnwpaper/outputs/exptl_comparison</t>
        </is>
      </c>
      <c r="M602" t="inlineStr">
        <is>
          <t>ABANDONED: M^-1.5 c* convention</t>
        </is>
      </c>
    </row>
    <row r="603">
      <c r="A603" t="b">
        <v>0</v>
      </c>
      <c r="B603" t="n">
        <v>602</v>
      </c>
      <c r="C603" t="inlineStr">
        <is>
          <t>A3</t>
        </is>
      </c>
      <c r="D603" t="inlineStr">
        <is>
          <t>styext</t>
        </is>
      </c>
      <c r="E603" t="n">
        <v>2426</v>
      </c>
      <c r="F603" t="n">
        <v>0.04</v>
      </c>
      <c r="G603" t="inlineStr">
        <is>
          <t>fenepm</t>
        </is>
      </c>
      <c r="H603" t="inlineStr">
        <is>
          <t>c2d2</t>
        </is>
      </c>
      <c r="I603" t="n">
        <v>0.010099</v>
      </c>
      <c r="J603" t="n">
        <v>1</v>
      </c>
      <c r="K603" t="inlineStr">
        <is>
          <t>clasen_boger_m15</t>
        </is>
      </c>
      <c r="L603" t="inlineStr">
        <is>
          <t>julia/experiments/tnwpaper/outputs/exptl_comparison</t>
        </is>
      </c>
      <c r="M603" t="inlineStr">
        <is>
          <t>ABANDONED: M^-1.5 c* convention</t>
        </is>
      </c>
    </row>
    <row r="604">
      <c r="A604" t="b">
        <v>0</v>
      </c>
      <c r="B604" t="n">
        <v>603</v>
      </c>
      <c r="C604" t="inlineStr">
        <is>
          <t>A3</t>
        </is>
      </c>
      <c r="D604" t="inlineStr">
        <is>
          <t>caber</t>
        </is>
      </c>
      <c r="E604" t="n">
        <v>2426</v>
      </c>
      <c r="F604" t="n">
        <v>0.04</v>
      </c>
      <c r="G604" t="inlineStr">
        <is>
          <t>fenepm</t>
        </is>
      </c>
      <c r="H604" t="inlineStr">
        <is>
          <t>constant</t>
        </is>
      </c>
      <c r="I604" t="n">
        <v>0.010099</v>
      </c>
      <c r="J604" t="inlineStr">
        <is>
          <t>[0.01, 0.03, 0.1, 0.3, 1, 3, 10, 30, 100]</t>
        </is>
      </c>
      <c r="K604" t="inlineStr">
        <is>
          <t>clasen_boger_m15</t>
        </is>
      </c>
      <c r="L604" t="inlineStr">
        <is>
          <t>julia/experiments/tnwpaper/outputs/exptl_comparison</t>
        </is>
      </c>
      <c r="M604" t="inlineStr">
        <is>
          <t>ABANDONED: M^-1.5 c* convention</t>
        </is>
      </c>
    </row>
    <row r="605">
      <c r="A605" t="b">
        <v>0</v>
      </c>
      <c r="B605" t="n">
        <v>604</v>
      </c>
      <c r="C605" t="inlineStr">
        <is>
          <t>A3</t>
        </is>
      </c>
      <c r="D605" t="inlineStr">
        <is>
          <t>caber</t>
        </is>
      </c>
      <c r="E605" t="n">
        <v>2426</v>
      </c>
      <c r="F605" t="n">
        <v>0.04</v>
      </c>
      <c r="G605" t="inlineStr">
        <is>
          <t>fenepm</t>
        </is>
      </c>
      <c r="H605" t="inlineStr">
        <is>
          <t>c2d2</t>
        </is>
      </c>
      <c r="I605" t="n">
        <v>0.010099</v>
      </c>
      <c r="J605" t="inlineStr">
        <is>
          <t>[0.01, 0.03, 0.1, 0.3, 1, 3, 10, 30, 100]</t>
        </is>
      </c>
      <c r="K605" t="inlineStr">
        <is>
          <t>clasen_boger_m15</t>
        </is>
      </c>
      <c r="L605" t="inlineStr">
        <is>
          <t>julia/experiments/tnwpaper/outputs/exptl_comparison</t>
        </is>
      </c>
      <c r="M605" t="inlineStr">
        <is>
          <t>ABANDONED: M^-1.5 c* convention</t>
        </is>
      </c>
    </row>
    <row r="606">
      <c r="A606" t="b">
        <v>0</v>
      </c>
      <c r="B606" t="n">
        <v>605</v>
      </c>
      <c r="C606" t="inlineStr">
        <is>
          <t>A4</t>
        </is>
      </c>
      <c r="D606" t="inlineStr">
        <is>
          <t>styext</t>
        </is>
      </c>
      <c r="E606" t="n">
        <v>2426</v>
      </c>
      <c r="F606" t="n">
        <v>0.04</v>
      </c>
      <c r="G606" t="inlineStr">
        <is>
          <t>fenepm</t>
        </is>
      </c>
      <c r="H606" t="inlineStr">
        <is>
          <t>constant</t>
        </is>
      </c>
      <c r="I606" t="n">
        <v>0.025248</v>
      </c>
      <c r="J606" t="n">
        <v>1</v>
      </c>
      <c r="K606" t="inlineStr">
        <is>
          <t>clasen_boger_m15</t>
        </is>
      </c>
      <c r="L606" t="inlineStr">
        <is>
          <t>julia/experiments/tnwpaper/outputs/exptl_comparison</t>
        </is>
      </c>
      <c r="M606" t="inlineStr">
        <is>
          <t>ABANDONED: M^-1.5 c* convention</t>
        </is>
      </c>
    </row>
    <row r="607">
      <c r="A607" t="b">
        <v>0</v>
      </c>
      <c r="B607" t="n">
        <v>606</v>
      </c>
      <c r="C607" t="inlineStr">
        <is>
          <t>A4</t>
        </is>
      </c>
      <c r="D607" t="inlineStr">
        <is>
          <t>styext</t>
        </is>
      </c>
      <c r="E607" t="n">
        <v>2426</v>
      </c>
      <c r="F607" t="n">
        <v>0.04</v>
      </c>
      <c r="G607" t="inlineStr">
        <is>
          <t>fenepm</t>
        </is>
      </c>
      <c r="H607" t="inlineStr">
        <is>
          <t>c2d2</t>
        </is>
      </c>
      <c r="I607" t="n">
        <v>0.025248</v>
      </c>
      <c r="J607" t="n">
        <v>1</v>
      </c>
      <c r="K607" t="inlineStr">
        <is>
          <t>clasen_boger_m15</t>
        </is>
      </c>
      <c r="L607" t="inlineStr">
        <is>
          <t>julia/experiments/tnwpaper/outputs/exptl_comparison</t>
        </is>
      </c>
      <c r="M607" t="inlineStr">
        <is>
          <t>ABANDONED: M^-1.5 c* convention</t>
        </is>
      </c>
    </row>
    <row r="608">
      <c r="A608" t="b">
        <v>0</v>
      </c>
      <c r="B608" t="n">
        <v>607</v>
      </c>
      <c r="C608" t="inlineStr">
        <is>
          <t>A4</t>
        </is>
      </c>
      <c r="D608" t="inlineStr">
        <is>
          <t>caber</t>
        </is>
      </c>
      <c r="E608" t="n">
        <v>2426</v>
      </c>
      <c r="F608" t="n">
        <v>0.04</v>
      </c>
      <c r="G608" t="inlineStr">
        <is>
          <t>fenepm</t>
        </is>
      </c>
      <c r="H608" t="inlineStr">
        <is>
          <t>constant</t>
        </is>
      </c>
      <c r="I608" t="n">
        <v>0.025248</v>
      </c>
      <c r="J608" t="inlineStr">
        <is>
          <t>[0.01, 0.03, 0.1, 0.3, 1, 3, 10, 30, 100]</t>
        </is>
      </c>
      <c r="K608" t="inlineStr">
        <is>
          <t>clasen_boger_m15</t>
        </is>
      </c>
      <c r="L608" t="inlineStr">
        <is>
          <t>julia/experiments/tnwpaper/outputs/exptl_comparison</t>
        </is>
      </c>
      <c r="M608" t="inlineStr">
        <is>
          <t>ABANDONED: M^-1.5 c* convention</t>
        </is>
      </c>
    </row>
    <row r="609">
      <c r="A609" t="b">
        <v>0</v>
      </c>
      <c r="B609" t="n">
        <v>608</v>
      </c>
      <c r="C609" t="inlineStr">
        <is>
          <t>A4</t>
        </is>
      </c>
      <c r="D609" t="inlineStr">
        <is>
          <t>caber</t>
        </is>
      </c>
      <c r="E609" t="n">
        <v>2426</v>
      </c>
      <c r="F609" t="n">
        <v>0.04</v>
      </c>
      <c r="G609" t="inlineStr">
        <is>
          <t>fenepm</t>
        </is>
      </c>
      <c r="H609" t="inlineStr">
        <is>
          <t>c2d2</t>
        </is>
      </c>
      <c r="I609" t="n">
        <v>0.025248</v>
      </c>
      <c r="J609" t="inlineStr">
        <is>
          <t>[0.01, 0.03, 0.1, 0.3, 1, 3, 10, 30, 100]</t>
        </is>
      </c>
      <c r="K609" t="inlineStr">
        <is>
          <t>clasen_boger_m15</t>
        </is>
      </c>
      <c r="L609" t="inlineStr">
        <is>
          <t>julia/experiments/tnwpaper/outputs/exptl_comparison</t>
        </is>
      </c>
      <c r="M609" t="inlineStr">
        <is>
          <t>ABANDONED: M^-1.5 c* convention</t>
        </is>
      </c>
    </row>
    <row r="610">
      <c r="A610" t="b">
        <v>0</v>
      </c>
      <c r="B610" t="n">
        <v>609</v>
      </c>
      <c r="C610" t="inlineStr">
        <is>
          <t>A5</t>
        </is>
      </c>
      <c r="D610" t="inlineStr">
        <is>
          <t>styext</t>
        </is>
      </c>
      <c r="E610" t="n">
        <v>2426</v>
      </c>
      <c r="F610" t="n">
        <v>0.04</v>
      </c>
      <c r="G610" t="inlineStr">
        <is>
          <t>fenepm</t>
        </is>
      </c>
      <c r="H610" t="inlineStr">
        <is>
          <t>constant</t>
        </is>
      </c>
      <c r="I610" t="n">
        <v>0.050496</v>
      </c>
      <c r="J610" t="n">
        <v>1</v>
      </c>
      <c r="K610" t="inlineStr">
        <is>
          <t>clasen_boger_m15</t>
        </is>
      </c>
      <c r="L610" t="inlineStr">
        <is>
          <t>julia/experiments/tnwpaper/outputs/exptl_comparison</t>
        </is>
      </c>
      <c r="M610" t="inlineStr">
        <is>
          <t>ABANDONED: M^-1.5 c* convention</t>
        </is>
      </c>
    </row>
    <row r="611">
      <c r="A611" t="b">
        <v>0</v>
      </c>
      <c r="B611" t="n">
        <v>610</v>
      </c>
      <c r="C611" t="inlineStr">
        <is>
          <t>A5</t>
        </is>
      </c>
      <c r="D611" t="inlineStr">
        <is>
          <t>styext</t>
        </is>
      </c>
      <c r="E611" t="n">
        <v>2426</v>
      </c>
      <c r="F611" t="n">
        <v>0.04</v>
      </c>
      <c r="G611" t="inlineStr">
        <is>
          <t>fenepm</t>
        </is>
      </c>
      <c r="H611" t="inlineStr">
        <is>
          <t>c2d2</t>
        </is>
      </c>
      <c r="I611" t="n">
        <v>0.050496</v>
      </c>
      <c r="J611" t="n">
        <v>1</v>
      </c>
      <c r="K611" t="inlineStr">
        <is>
          <t>clasen_boger_m15</t>
        </is>
      </c>
      <c r="L611" t="inlineStr">
        <is>
          <t>julia/experiments/tnwpaper/outputs/exptl_comparison</t>
        </is>
      </c>
      <c r="M611" t="inlineStr">
        <is>
          <t>ABANDONED: M^-1.5 c* convention</t>
        </is>
      </c>
    </row>
    <row r="612">
      <c r="A612" t="b">
        <v>0</v>
      </c>
      <c r="B612" t="n">
        <v>611</v>
      </c>
      <c r="C612" t="inlineStr">
        <is>
          <t>A5</t>
        </is>
      </c>
      <c r="D612" t="inlineStr">
        <is>
          <t>caber</t>
        </is>
      </c>
      <c r="E612" t="n">
        <v>2426</v>
      </c>
      <c r="F612" t="n">
        <v>0.04</v>
      </c>
      <c r="G612" t="inlineStr">
        <is>
          <t>fenepm</t>
        </is>
      </c>
      <c r="H612" t="inlineStr">
        <is>
          <t>constant</t>
        </is>
      </c>
      <c r="I612" t="n">
        <v>0.050496</v>
      </c>
      <c r="J612" t="inlineStr">
        <is>
          <t>[0.01, 0.03, 0.1, 0.3, 1, 3, 10, 30, 100]</t>
        </is>
      </c>
      <c r="K612" t="inlineStr">
        <is>
          <t>clasen_boger_m15</t>
        </is>
      </c>
      <c r="L612" t="inlineStr">
        <is>
          <t>julia/experiments/tnwpaper/outputs/exptl_comparison</t>
        </is>
      </c>
      <c r="M612" t="inlineStr">
        <is>
          <t>ABANDONED: M^-1.5 c* convention</t>
        </is>
      </c>
    </row>
    <row r="613">
      <c r="A613" t="b">
        <v>0</v>
      </c>
      <c r="B613" t="n">
        <v>612</v>
      </c>
      <c r="C613" t="inlineStr">
        <is>
          <t>A5</t>
        </is>
      </c>
      <c r="D613" t="inlineStr">
        <is>
          <t>caber</t>
        </is>
      </c>
      <c r="E613" t="n">
        <v>2426</v>
      </c>
      <c r="F613" t="n">
        <v>0.04</v>
      </c>
      <c r="G613" t="inlineStr">
        <is>
          <t>fenepm</t>
        </is>
      </c>
      <c r="H613" t="inlineStr">
        <is>
          <t>c2d2</t>
        </is>
      </c>
      <c r="I613" t="n">
        <v>0.050496</v>
      </c>
      <c r="J613" t="inlineStr">
        <is>
          <t>[0.01, 0.03, 0.1, 0.3, 1, 3, 10, 30, 100]</t>
        </is>
      </c>
      <c r="K613" t="inlineStr">
        <is>
          <t>clasen_boger_m15</t>
        </is>
      </c>
      <c r="L613" t="inlineStr">
        <is>
          <t>julia/experiments/tnwpaper/outputs/exptl_comparison</t>
        </is>
      </c>
      <c r="M613" t="inlineStr">
        <is>
          <t>ABANDONED: M^-1.5 c* convention</t>
        </is>
      </c>
    </row>
    <row r="614">
      <c r="A614" t="b">
        <v>0</v>
      </c>
      <c r="B614" t="n">
        <v>613</v>
      </c>
      <c r="C614" t="inlineStr">
        <is>
          <t>B1</t>
        </is>
      </c>
      <c r="D614" t="inlineStr">
        <is>
          <t>styext</t>
        </is>
      </c>
      <c r="E614" t="n">
        <v>3774</v>
      </c>
      <c r="F614" t="n">
        <v>0.04</v>
      </c>
      <c r="G614" t="inlineStr">
        <is>
          <t>fenepm</t>
        </is>
      </c>
      <c r="H614" t="inlineStr">
        <is>
          <t>constant</t>
        </is>
      </c>
      <c r="I614" t="n">
        <v>0.000862</v>
      </c>
      <c r="J614" t="n">
        <v>1</v>
      </c>
      <c r="K614" t="inlineStr">
        <is>
          <t>clasen_boger_m15</t>
        </is>
      </c>
      <c r="L614" t="inlineStr">
        <is>
          <t>julia/experiments/tnwpaper/outputs/exptl_comparison</t>
        </is>
      </c>
      <c r="M614" t="inlineStr">
        <is>
          <t>ABANDONED: M^-1.5 c* convention</t>
        </is>
      </c>
    </row>
    <row r="615">
      <c r="A615" t="b">
        <v>0</v>
      </c>
      <c r="B615" t="n">
        <v>614</v>
      </c>
      <c r="C615" t="inlineStr">
        <is>
          <t>B1</t>
        </is>
      </c>
      <c r="D615" t="inlineStr">
        <is>
          <t>styext</t>
        </is>
      </c>
      <c r="E615" t="n">
        <v>3774</v>
      </c>
      <c r="F615" t="n">
        <v>0.04</v>
      </c>
      <c r="G615" t="inlineStr">
        <is>
          <t>fenepm</t>
        </is>
      </c>
      <c r="H615" t="inlineStr">
        <is>
          <t>c2d2</t>
        </is>
      </c>
      <c r="I615" t="n">
        <v>0.000862</v>
      </c>
      <c r="J615" t="n">
        <v>1</v>
      </c>
      <c r="K615" t="inlineStr">
        <is>
          <t>clasen_boger_m15</t>
        </is>
      </c>
      <c r="L615" t="inlineStr">
        <is>
          <t>julia/experiments/tnwpaper/outputs/exptl_comparison</t>
        </is>
      </c>
      <c r="M615" t="inlineStr">
        <is>
          <t>ABANDONED: M^-1.5 c* convention</t>
        </is>
      </c>
    </row>
    <row r="616">
      <c r="A616" t="b">
        <v>0</v>
      </c>
      <c r="B616" t="n">
        <v>615</v>
      </c>
      <c r="C616" t="inlineStr">
        <is>
          <t>B1</t>
        </is>
      </c>
      <c r="D616" t="inlineStr">
        <is>
          <t>caber</t>
        </is>
      </c>
      <c r="E616" t="n">
        <v>3774</v>
      </c>
      <c r="F616" t="n">
        <v>0.04</v>
      </c>
      <c r="G616" t="inlineStr">
        <is>
          <t>fenepm</t>
        </is>
      </c>
      <c r="H616" t="inlineStr">
        <is>
          <t>constant</t>
        </is>
      </c>
      <c r="I616" t="n">
        <v>0.000862</v>
      </c>
      <c r="J616" t="inlineStr">
        <is>
          <t>[0.01, 0.03, 0.1, 0.3, 1, 3, 10, 30, 100]</t>
        </is>
      </c>
      <c r="K616" t="inlineStr">
        <is>
          <t>clasen_boger_m15</t>
        </is>
      </c>
      <c r="L616" t="inlineStr">
        <is>
          <t>julia/experiments/tnwpaper/outputs/exptl_comparison</t>
        </is>
      </c>
      <c r="M616" t="inlineStr">
        <is>
          <t>ABANDONED: M^-1.5 c* convention</t>
        </is>
      </c>
    </row>
    <row r="617">
      <c r="A617" t="b">
        <v>0</v>
      </c>
      <c r="B617" t="n">
        <v>616</v>
      </c>
      <c r="C617" t="inlineStr">
        <is>
          <t>B1</t>
        </is>
      </c>
      <c r="D617" t="inlineStr">
        <is>
          <t>caber</t>
        </is>
      </c>
      <c r="E617" t="n">
        <v>3774</v>
      </c>
      <c r="F617" t="n">
        <v>0.04</v>
      </c>
      <c r="G617" t="inlineStr">
        <is>
          <t>fenepm</t>
        </is>
      </c>
      <c r="H617" t="inlineStr">
        <is>
          <t>c2d2</t>
        </is>
      </c>
      <c r="I617" t="n">
        <v>0.000862</v>
      </c>
      <c r="J617" t="inlineStr">
        <is>
          <t>[0.01, 0.03, 0.1, 0.3, 1, 3, 10, 30, 100]</t>
        </is>
      </c>
      <c r="K617" t="inlineStr">
        <is>
          <t>clasen_boger_m15</t>
        </is>
      </c>
      <c r="L617" t="inlineStr">
        <is>
          <t>julia/experiments/tnwpaper/outputs/exptl_comparison</t>
        </is>
      </c>
      <c r="M617" t="inlineStr">
        <is>
          <t>ABANDONED: M^-1.5 c* convention</t>
        </is>
      </c>
    </row>
    <row r="618">
      <c r="A618" t="b">
        <v>0</v>
      </c>
      <c r="B618" t="n">
        <v>617</v>
      </c>
      <c r="C618" t="inlineStr">
        <is>
          <t>B2</t>
        </is>
      </c>
      <c r="D618" t="inlineStr">
        <is>
          <t>styext</t>
        </is>
      </c>
      <c r="E618" t="n">
        <v>3774</v>
      </c>
      <c r="F618" t="n">
        <v>0.04</v>
      </c>
      <c r="G618" t="inlineStr">
        <is>
          <t>fenepm</t>
        </is>
      </c>
      <c r="H618" t="inlineStr">
        <is>
          <t>constant</t>
        </is>
      </c>
      <c r="I618" t="n">
        <v>0.00147</v>
      </c>
      <c r="J618" t="n">
        <v>1</v>
      </c>
      <c r="K618" t="inlineStr">
        <is>
          <t>clasen_boger_m15</t>
        </is>
      </c>
      <c r="L618" t="inlineStr">
        <is>
          <t>julia/experiments/tnwpaper/outputs/exptl_comparison</t>
        </is>
      </c>
      <c r="M618" t="inlineStr">
        <is>
          <t>ABANDONED: M^-1.5 c* convention</t>
        </is>
      </c>
    </row>
    <row r="619">
      <c r="A619" t="b">
        <v>0</v>
      </c>
      <c r="B619" t="n">
        <v>618</v>
      </c>
      <c r="C619" t="inlineStr">
        <is>
          <t>B2</t>
        </is>
      </c>
      <c r="D619" t="inlineStr">
        <is>
          <t>styext</t>
        </is>
      </c>
      <c r="E619" t="n">
        <v>3774</v>
      </c>
      <c r="F619" t="n">
        <v>0.04</v>
      </c>
      <c r="G619" t="inlineStr">
        <is>
          <t>fenepm</t>
        </is>
      </c>
      <c r="H619" t="inlineStr">
        <is>
          <t>c2d2</t>
        </is>
      </c>
      <c r="I619" t="n">
        <v>0.00147</v>
      </c>
      <c r="J619" t="n">
        <v>1</v>
      </c>
      <c r="K619" t="inlineStr">
        <is>
          <t>clasen_boger_m15</t>
        </is>
      </c>
      <c r="L619" t="inlineStr">
        <is>
          <t>julia/experiments/tnwpaper/outputs/exptl_comparison</t>
        </is>
      </c>
      <c r="M619" t="inlineStr">
        <is>
          <t>ABANDONED: M^-1.5 c* convention</t>
        </is>
      </c>
    </row>
    <row r="620">
      <c r="A620" t="b">
        <v>0</v>
      </c>
      <c r="B620" t="n">
        <v>619</v>
      </c>
      <c r="C620" t="inlineStr">
        <is>
          <t>B2</t>
        </is>
      </c>
      <c r="D620" t="inlineStr">
        <is>
          <t>caber</t>
        </is>
      </c>
      <c r="E620" t="n">
        <v>3774</v>
      </c>
      <c r="F620" t="n">
        <v>0.04</v>
      </c>
      <c r="G620" t="inlineStr">
        <is>
          <t>fenepm</t>
        </is>
      </c>
      <c r="H620" t="inlineStr">
        <is>
          <t>constant</t>
        </is>
      </c>
      <c r="I620" t="n">
        <v>0.00147</v>
      </c>
      <c r="J620" t="inlineStr">
        <is>
          <t>[0.01, 0.03, 0.1, 0.3, 1, 3, 10, 30, 100]</t>
        </is>
      </c>
      <c r="K620" t="inlineStr">
        <is>
          <t>clasen_boger_m15</t>
        </is>
      </c>
      <c r="L620" t="inlineStr">
        <is>
          <t>julia/experiments/tnwpaper/outputs/exptl_comparison</t>
        </is>
      </c>
      <c r="M620" t="inlineStr">
        <is>
          <t>ABANDONED: M^-1.5 c* convention</t>
        </is>
      </c>
    </row>
    <row r="621">
      <c r="A621" t="b">
        <v>0</v>
      </c>
      <c r="B621" t="n">
        <v>620</v>
      </c>
      <c r="C621" t="inlineStr">
        <is>
          <t>B2</t>
        </is>
      </c>
      <c r="D621" t="inlineStr">
        <is>
          <t>caber</t>
        </is>
      </c>
      <c r="E621" t="n">
        <v>3774</v>
      </c>
      <c r="F621" t="n">
        <v>0.04</v>
      </c>
      <c r="G621" t="inlineStr">
        <is>
          <t>fenepm</t>
        </is>
      </c>
      <c r="H621" t="inlineStr">
        <is>
          <t>c2d2</t>
        </is>
      </c>
      <c r="I621" t="n">
        <v>0.00147</v>
      </c>
      <c r="J621" t="inlineStr">
        <is>
          <t>[0.01, 0.03, 0.1, 0.3, 1, 3, 10, 30, 100]</t>
        </is>
      </c>
      <c r="K621" t="inlineStr">
        <is>
          <t>clasen_boger_m15</t>
        </is>
      </c>
      <c r="L621" t="inlineStr">
        <is>
          <t>julia/experiments/tnwpaper/outputs/exptl_comparison</t>
        </is>
      </c>
      <c r="M621" t="inlineStr">
        <is>
          <t>ABANDONED: M^-1.5 c* convention</t>
        </is>
      </c>
    </row>
    <row r="622">
      <c r="A622" t="b">
        <v>0</v>
      </c>
      <c r="B622" t="n">
        <v>621</v>
      </c>
      <c r="C622" t="inlineStr">
        <is>
          <t>B3</t>
        </is>
      </c>
      <c r="D622" t="inlineStr">
        <is>
          <t>styext</t>
        </is>
      </c>
      <c r="E622" t="n">
        <v>3774</v>
      </c>
      <c r="F622" t="n">
        <v>0.04</v>
      </c>
      <c r="G622" t="inlineStr">
        <is>
          <t>fenepm</t>
        </is>
      </c>
      <c r="H622" t="inlineStr">
        <is>
          <t>constant</t>
        </is>
      </c>
      <c r="I622" t="n">
        <v>0.002743</v>
      </c>
      <c r="J622" t="n">
        <v>1</v>
      </c>
      <c r="K622" t="inlineStr">
        <is>
          <t>clasen_boger_m15</t>
        </is>
      </c>
      <c r="L622" t="inlineStr">
        <is>
          <t>julia/experiments/tnwpaper/outputs/exptl_comparison</t>
        </is>
      </c>
      <c r="M622" t="inlineStr">
        <is>
          <t>ABANDONED: M^-1.5 c* convention</t>
        </is>
      </c>
    </row>
    <row r="623">
      <c r="A623" t="b">
        <v>0</v>
      </c>
      <c r="B623" t="n">
        <v>622</v>
      </c>
      <c r="C623" t="inlineStr">
        <is>
          <t>B3</t>
        </is>
      </c>
      <c r="D623" t="inlineStr">
        <is>
          <t>styext</t>
        </is>
      </c>
      <c r="E623" t="n">
        <v>3774</v>
      </c>
      <c r="F623" t="n">
        <v>0.04</v>
      </c>
      <c r="G623" t="inlineStr">
        <is>
          <t>fenepm</t>
        </is>
      </c>
      <c r="H623" t="inlineStr">
        <is>
          <t>c2d2</t>
        </is>
      </c>
      <c r="I623" t="n">
        <v>0.002743</v>
      </c>
      <c r="J623" t="n">
        <v>1</v>
      </c>
      <c r="K623" t="inlineStr">
        <is>
          <t>clasen_boger_m15</t>
        </is>
      </c>
      <c r="L623" t="inlineStr">
        <is>
          <t>julia/experiments/tnwpaper/outputs/exptl_comparison</t>
        </is>
      </c>
      <c r="M623" t="inlineStr">
        <is>
          <t>ABANDONED: M^-1.5 c* convention</t>
        </is>
      </c>
    </row>
    <row r="624">
      <c r="A624" t="b">
        <v>0</v>
      </c>
      <c r="B624" t="n">
        <v>623</v>
      </c>
      <c r="C624" t="inlineStr">
        <is>
          <t>B3</t>
        </is>
      </c>
      <c r="D624" t="inlineStr">
        <is>
          <t>caber</t>
        </is>
      </c>
      <c r="E624" t="n">
        <v>3774</v>
      </c>
      <c r="F624" t="n">
        <v>0.04</v>
      </c>
      <c r="G624" t="inlineStr">
        <is>
          <t>fenepm</t>
        </is>
      </c>
      <c r="H624" t="inlineStr">
        <is>
          <t>constant</t>
        </is>
      </c>
      <c r="I624" t="n">
        <v>0.002743</v>
      </c>
      <c r="J624" t="inlineStr">
        <is>
          <t>[0.01, 0.03, 0.1, 0.3, 1, 3, 10, 30, 100]</t>
        </is>
      </c>
      <c r="K624" t="inlineStr">
        <is>
          <t>clasen_boger_m15</t>
        </is>
      </c>
      <c r="L624" t="inlineStr">
        <is>
          <t>julia/experiments/tnwpaper/outputs/exptl_comparison</t>
        </is>
      </c>
      <c r="M624" t="inlineStr">
        <is>
          <t>ABANDONED: M^-1.5 c* convention</t>
        </is>
      </c>
    </row>
    <row r="625">
      <c r="A625" t="b">
        <v>0</v>
      </c>
      <c r="B625" t="n">
        <v>624</v>
      </c>
      <c r="C625" t="inlineStr">
        <is>
          <t>B3</t>
        </is>
      </c>
      <c r="D625" t="inlineStr">
        <is>
          <t>caber</t>
        </is>
      </c>
      <c r="E625" t="n">
        <v>3774</v>
      </c>
      <c r="F625" t="n">
        <v>0.04</v>
      </c>
      <c r="G625" t="inlineStr">
        <is>
          <t>fenepm</t>
        </is>
      </c>
      <c r="H625" t="inlineStr">
        <is>
          <t>c2d2</t>
        </is>
      </c>
      <c r="I625" t="n">
        <v>0.002743</v>
      </c>
      <c r="J625" t="inlineStr">
        <is>
          <t>[0.01, 0.03, 0.1, 0.3, 1, 3, 10, 30, 100]</t>
        </is>
      </c>
      <c r="K625" t="inlineStr">
        <is>
          <t>clasen_boger_m15</t>
        </is>
      </c>
      <c r="L625" t="inlineStr">
        <is>
          <t>julia/experiments/tnwpaper/outputs/exptl_comparison</t>
        </is>
      </c>
      <c r="M625" t="inlineStr">
        <is>
          <t>ABANDONED: M^-1.5 c* convention</t>
        </is>
      </c>
    </row>
    <row r="626">
      <c r="A626" t="b">
        <v>0</v>
      </c>
      <c r="B626" t="n">
        <v>625</v>
      </c>
      <c r="C626" t="inlineStr">
        <is>
          <t>B4</t>
        </is>
      </c>
      <c r="D626" t="inlineStr">
        <is>
          <t>styext</t>
        </is>
      </c>
      <c r="E626" t="n">
        <v>3774</v>
      </c>
      <c r="F626" t="n">
        <v>0.04</v>
      </c>
      <c r="G626" t="inlineStr">
        <is>
          <t>fenepm</t>
        </is>
      </c>
      <c r="H626" t="inlineStr">
        <is>
          <t>constant</t>
        </is>
      </c>
      <c r="I626" t="n">
        <v>0.004899</v>
      </c>
      <c r="J626" t="n">
        <v>1</v>
      </c>
      <c r="K626" t="inlineStr">
        <is>
          <t>clasen_boger_m15</t>
        </is>
      </c>
      <c r="L626" t="inlineStr">
        <is>
          <t>julia/experiments/tnwpaper/outputs/exptl_comparison</t>
        </is>
      </c>
      <c r="M626" t="inlineStr">
        <is>
          <t>ABANDONED: M^-1.5 c* convention</t>
        </is>
      </c>
    </row>
    <row r="627">
      <c r="A627" t="b">
        <v>0</v>
      </c>
      <c r="B627" t="n">
        <v>626</v>
      </c>
      <c r="C627" t="inlineStr">
        <is>
          <t>B4</t>
        </is>
      </c>
      <c r="D627" t="inlineStr">
        <is>
          <t>styext</t>
        </is>
      </c>
      <c r="E627" t="n">
        <v>3774</v>
      </c>
      <c r="F627" t="n">
        <v>0.04</v>
      </c>
      <c r="G627" t="inlineStr">
        <is>
          <t>fenepm</t>
        </is>
      </c>
      <c r="H627" t="inlineStr">
        <is>
          <t>c2d2</t>
        </is>
      </c>
      <c r="I627" t="n">
        <v>0.004899</v>
      </c>
      <c r="J627" t="n">
        <v>1</v>
      </c>
      <c r="K627" t="inlineStr">
        <is>
          <t>clasen_boger_m15</t>
        </is>
      </c>
      <c r="L627" t="inlineStr">
        <is>
          <t>julia/experiments/tnwpaper/outputs/exptl_comparison</t>
        </is>
      </c>
      <c r="M627" t="inlineStr">
        <is>
          <t>ABANDONED: M^-1.5 c* convention</t>
        </is>
      </c>
    </row>
    <row r="628">
      <c r="A628" t="b">
        <v>0</v>
      </c>
      <c r="B628" t="n">
        <v>627</v>
      </c>
      <c r="C628" t="inlineStr">
        <is>
          <t>B4</t>
        </is>
      </c>
      <c r="D628" t="inlineStr">
        <is>
          <t>caber</t>
        </is>
      </c>
      <c r="E628" t="n">
        <v>3774</v>
      </c>
      <c r="F628" t="n">
        <v>0.04</v>
      </c>
      <c r="G628" t="inlineStr">
        <is>
          <t>fenepm</t>
        </is>
      </c>
      <c r="H628" t="inlineStr">
        <is>
          <t>constant</t>
        </is>
      </c>
      <c r="I628" t="n">
        <v>0.004899</v>
      </c>
      <c r="J628" t="inlineStr">
        <is>
          <t>[0.01, 0.03, 0.1, 0.3, 1, 3, 10, 30, 100]</t>
        </is>
      </c>
      <c r="K628" t="inlineStr">
        <is>
          <t>clasen_boger_m15</t>
        </is>
      </c>
      <c r="L628" t="inlineStr">
        <is>
          <t>julia/experiments/tnwpaper/outputs/exptl_comparison</t>
        </is>
      </c>
      <c r="M628" t="inlineStr">
        <is>
          <t>ABANDONED: M^-1.5 c* convention</t>
        </is>
      </c>
    </row>
    <row r="629">
      <c r="A629" t="b">
        <v>0</v>
      </c>
      <c r="B629" t="n">
        <v>628</v>
      </c>
      <c r="C629" t="inlineStr">
        <is>
          <t>B4</t>
        </is>
      </c>
      <c r="D629" t="inlineStr">
        <is>
          <t>caber</t>
        </is>
      </c>
      <c r="E629" t="n">
        <v>3774</v>
      </c>
      <c r="F629" t="n">
        <v>0.04</v>
      </c>
      <c r="G629" t="inlineStr">
        <is>
          <t>fenepm</t>
        </is>
      </c>
      <c r="H629" t="inlineStr">
        <is>
          <t>c2d2</t>
        </is>
      </c>
      <c r="I629" t="n">
        <v>0.004899</v>
      </c>
      <c r="J629" t="inlineStr">
        <is>
          <t>[0.01, 0.03, 0.1, 0.3, 1, 3, 10, 30, 100]</t>
        </is>
      </c>
      <c r="K629" t="inlineStr">
        <is>
          <t>clasen_boger_m15</t>
        </is>
      </c>
      <c r="L629" t="inlineStr">
        <is>
          <t>julia/experiments/tnwpaper/outputs/exptl_comparison</t>
        </is>
      </c>
      <c r="M629" t="inlineStr">
        <is>
          <t>ABANDONED: M^-1.5 c* convention</t>
        </is>
      </c>
    </row>
    <row r="630">
      <c r="A630" t="b">
        <v>0</v>
      </c>
      <c r="B630" t="n">
        <v>629</v>
      </c>
      <c r="C630" t="inlineStr">
        <is>
          <t>B5</t>
        </is>
      </c>
      <c r="D630" t="inlineStr">
        <is>
          <t>styext</t>
        </is>
      </c>
      <c r="E630" t="n">
        <v>3774</v>
      </c>
      <c r="F630" t="n">
        <v>0.04</v>
      </c>
      <c r="G630" t="inlineStr">
        <is>
          <t>fenepm</t>
        </is>
      </c>
      <c r="H630" t="inlineStr">
        <is>
          <t>constant</t>
        </is>
      </c>
      <c r="I630" t="n">
        <v>0.008621</v>
      </c>
      <c r="J630" t="n">
        <v>1</v>
      </c>
      <c r="K630" t="inlineStr">
        <is>
          <t>clasen_boger_m15</t>
        </is>
      </c>
      <c r="L630" t="inlineStr">
        <is>
          <t>julia/experiments/tnwpaper/outputs/exptl_comparison</t>
        </is>
      </c>
      <c r="M630" t="inlineStr">
        <is>
          <t>ABANDONED: M^-1.5 c* convention</t>
        </is>
      </c>
    </row>
    <row r="631">
      <c r="A631" t="b">
        <v>0</v>
      </c>
      <c r="B631" t="n">
        <v>630</v>
      </c>
      <c r="C631" t="inlineStr">
        <is>
          <t>B5</t>
        </is>
      </c>
      <c r="D631" t="inlineStr">
        <is>
          <t>styext</t>
        </is>
      </c>
      <c r="E631" t="n">
        <v>3774</v>
      </c>
      <c r="F631" t="n">
        <v>0.04</v>
      </c>
      <c r="G631" t="inlineStr">
        <is>
          <t>fenepm</t>
        </is>
      </c>
      <c r="H631" t="inlineStr">
        <is>
          <t>c2d2</t>
        </is>
      </c>
      <c r="I631" t="n">
        <v>0.008621</v>
      </c>
      <c r="J631" t="n">
        <v>1</v>
      </c>
      <c r="K631" t="inlineStr">
        <is>
          <t>clasen_boger_m15</t>
        </is>
      </c>
      <c r="L631" t="inlineStr">
        <is>
          <t>julia/experiments/tnwpaper/outputs/exptl_comparison</t>
        </is>
      </c>
      <c r="M631" t="inlineStr">
        <is>
          <t>ABANDONED: M^-1.5 c* convention</t>
        </is>
      </c>
    </row>
    <row r="632">
      <c r="A632" t="b">
        <v>0</v>
      </c>
      <c r="B632" t="n">
        <v>631</v>
      </c>
      <c r="C632" t="inlineStr">
        <is>
          <t>B5</t>
        </is>
      </c>
      <c r="D632" t="inlineStr">
        <is>
          <t>caber</t>
        </is>
      </c>
      <c r="E632" t="n">
        <v>3774</v>
      </c>
      <c r="F632" t="n">
        <v>0.04</v>
      </c>
      <c r="G632" t="inlineStr">
        <is>
          <t>fenepm</t>
        </is>
      </c>
      <c r="H632" t="inlineStr">
        <is>
          <t>constant</t>
        </is>
      </c>
      <c r="I632" t="n">
        <v>0.008621</v>
      </c>
      <c r="J632" t="inlineStr">
        <is>
          <t>[0.01, 0.03, 0.1, 0.3, 1, 3, 10, 30, 100]</t>
        </is>
      </c>
      <c r="K632" t="inlineStr">
        <is>
          <t>clasen_boger_m15</t>
        </is>
      </c>
      <c r="L632" t="inlineStr">
        <is>
          <t>julia/experiments/tnwpaper/outputs/exptl_comparison</t>
        </is>
      </c>
      <c r="M632" t="inlineStr">
        <is>
          <t>ABANDONED: M^-1.5 c* convention</t>
        </is>
      </c>
    </row>
    <row r="633">
      <c r="A633" t="b">
        <v>0</v>
      </c>
      <c r="B633" t="n">
        <v>632</v>
      </c>
      <c r="C633" t="inlineStr">
        <is>
          <t>B5</t>
        </is>
      </c>
      <c r="D633" t="inlineStr">
        <is>
          <t>caber</t>
        </is>
      </c>
      <c r="E633" t="n">
        <v>3774</v>
      </c>
      <c r="F633" t="n">
        <v>0.04</v>
      </c>
      <c r="G633" t="inlineStr">
        <is>
          <t>fenepm</t>
        </is>
      </c>
      <c r="H633" t="inlineStr">
        <is>
          <t>c2d2</t>
        </is>
      </c>
      <c r="I633" t="n">
        <v>0.008621</v>
      </c>
      <c r="J633" t="inlineStr">
        <is>
          <t>[0.01, 0.03, 0.1, 0.3, 1, 3, 10, 30, 100]</t>
        </is>
      </c>
      <c r="K633" t="inlineStr">
        <is>
          <t>clasen_boger_m15</t>
        </is>
      </c>
      <c r="L633" t="inlineStr">
        <is>
          <t>julia/experiments/tnwpaper/outputs/exptl_comparison</t>
        </is>
      </c>
      <c r="M633" t="inlineStr">
        <is>
          <t>ABANDONED: M^-1.5 c* convention</t>
        </is>
      </c>
    </row>
    <row r="634">
      <c r="A634" t="b">
        <v>0</v>
      </c>
      <c r="B634" t="n">
        <v>633</v>
      </c>
      <c r="C634" t="inlineStr">
        <is>
          <t>B6</t>
        </is>
      </c>
      <c r="D634" t="inlineStr">
        <is>
          <t>styext</t>
        </is>
      </c>
      <c r="E634" t="n">
        <v>3774</v>
      </c>
      <c r="F634" t="n">
        <v>0.04</v>
      </c>
      <c r="G634" t="inlineStr">
        <is>
          <t>fenepm</t>
        </is>
      </c>
      <c r="H634" t="inlineStr">
        <is>
          <t>constant</t>
        </is>
      </c>
      <c r="I634" t="n">
        <v>0.015479</v>
      </c>
      <c r="J634" t="n">
        <v>1</v>
      </c>
      <c r="K634" t="inlineStr">
        <is>
          <t>clasen_boger_m15</t>
        </is>
      </c>
      <c r="L634" t="inlineStr">
        <is>
          <t>julia/experiments/tnwpaper/outputs/exptl_comparison</t>
        </is>
      </c>
      <c r="M634" t="inlineStr">
        <is>
          <t>ABANDONED: M^-1.5 c* convention</t>
        </is>
      </c>
    </row>
    <row r="635">
      <c r="A635" t="b">
        <v>0</v>
      </c>
      <c r="B635" t="n">
        <v>634</v>
      </c>
      <c r="C635" t="inlineStr">
        <is>
          <t>B6</t>
        </is>
      </c>
      <c r="D635" t="inlineStr">
        <is>
          <t>styext</t>
        </is>
      </c>
      <c r="E635" t="n">
        <v>3774</v>
      </c>
      <c r="F635" t="n">
        <v>0.04</v>
      </c>
      <c r="G635" t="inlineStr">
        <is>
          <t>fenepm</t>
        </is>
      </c>
      <c r="H635" t="inlineStr">
        <is>
          <t>c2d2</t>
        </is>
      </c>
      <c r="I635" t="n">
        <v>0.015479</v>
      </c>
      <c r="J635" t="n">
        <v>1</v>
      </c>
      <c r="K635" t="inlineStr">
        <is>
          <t>clasen_boger_m15</t>
        </is>
      </c>
      <c r="L635" t="inlineStr">
        <is>
          <t>julia/experiments/tnwpaper/outputs/exptl_comparison</t>
        </is>
      </c>
      <c r="M635" t="inlineStr">
        <is>
          <t>ABANDONED: M^-1.5 c* convention</t>
        </is>
      </c>
    </row>
    <row r="636">
      <c r="A636" t="b">
        <v>0</v>
      </c>
      <c r="B636" t="n">
        <v>635</v>
      </c>
      <c r="C636" t="inlineStr">
        <is>
          <t>B6</t>
        </is>
      </c>
      <c r="D636" t="inlineStr">
        <is>
          <t>caber</t>
        </is>
      </c>
      <c r="E636" t="n">
        <v>3774</v>
      </c>
      <c r="F636" t="n">
        <v>0.04</v>
      </c>
      <c r="G636" t="inlineStr">
        <is>
          <t>fenepm</t>
        </is>
      </c>
      <c r="H636" t="inlineStr">
        <is>
          <t>constant</t>
        </is>
      </c>
      <c r="I636" t="n">
        <v>0.015479</v>
      </c>
      <c r="J636" t="inlineStr">
        <is>
          <t>[0.01, 0.03, 0.1, 0.3, 1, 3, 10, 30, 100]</t>
        </is>
      </c>
      <c r="K636" t="inlineStr">
        <is>
          <t>clasen_boger_m15</t>
        </is>
      </c>
      <c r="L636" t="inlineStr">
        <is>
          <t>julia/experiments/tnwpaper/outputs/exptl_comparison</t>
        </is>
      </c>
      <c r="M636" t="inlineStr">
        <is>
          <t>ABANDONED: M^-1.5 c* convention</t>
        </is>
      </c>
    </row>
    <row r="637">
      <c r="A637" t="b">
        <v>0</v>
      </c>
      <c r="B637" t="n">
        <v>636</v>
      </c>
      <c r="C637" t="inlineStr">
        <is>
          <t>B6</t>
        </is>
      </c>
      <c r="D637" t="inlineStr">
        <is>
          <t>caber</t>
        </is>
      </c>
      <c r="E637" t="n">
        <v>3774</v>
      </c>
      <c r="F637" t="n">
        <v>0.04</v>
      </c>
      <c r="G637" t="inlineStr">
        <is>
          <t>fenepm</t>
        </is>
      </c>
      <c r="H637" t="inlineStr">
        <is>
          <t>c2d2</t>
        </is>
      </c>
      <c r="I637" t="n">
        <v>0.015479</v>
      </c>
      <c r="J637" t="inlineStr">
        <is>
          <t>[0.01, 0.03, 0.1, 0.3, 1, 3, 10, 30, 100]</t>
        </is>
      </c>
      <c r="K637" t="inlineStr">
        <is>
          <t>clasen_boger_m15</t>
        </is>
      </c>
      <c r="L637" t="inlineStr">
        <is>
          <t>julia/experiments/tnwpaper/outputs/exptl_comparison</t>
        </is>
      </c>
      <c r="M637" t="inlineStr">
        <is>
          <t>ABANDONED: M^-1.5 c* convention</t>
        </is>
      </c>
    </row>
    <row r="638">
      <c r="A638" t="b">
        <v>0</v>
      </c>
      <c r="B638" t="n">
        <v>637</v>
      </c>
      <c r="C638" t="inlineStr">
        <is>
          <t>B7</t>
        </is>
      </c>
      <c r="D638" t="inlineStr">
        <is>
          <t>styext</t>
        </is>
      </c>
      <c r="E638" t="n">
        <v>3774</v>
      </c>
      <c r="F638" t="n">
        <v>0.04</v>
      </c>
      <c r="G638" t="inlineStr">
        <is>
          <t>fenepm</t>
        </is>
      </c>
      <c r="H638" t="inlineStr">
        <is>
          <t>constant</t>
        </is>
      </c>
      <c r="I638" t="n">
        <v>0.028215</v>
      </c>
      <c r="J638" t="n">
        <v>1</v>
      </c>
      <c r="K638" t="inlineStr">
        <is>
          <t>clasen_boger_m15</t>
        </is>
      </c>
      <c r="L638" t="inlineStr">
        <is>
          <t>julia/experiments/tnwpaper/outputs/exptl_comparison</t>
        </is>
      </c>
      <c r="M638" t="inlineStr">
        <is>
          <t>ABANDONED: M^-1.5 c* convention</t>
        </is>
      </c>
    </row>
    <row r="639">
      <c r="A639" t="b">
        <v>0</v>
      </c>
      <c r="B639" t="n">
        <v>638</v>
      </c>
      <c r="C639" t="inlineStr">
        <is>
          <t>B7</t>
        </is>
      </c>
      <c r="D639" t="inlineStr">
        <is>
          <t>styext</t>
        </is>
      </c>
      <c r="E639" t="n">
        <v>3774</v>
      </c>
      <c r="F639" t="n">
        <v>0.04</v>
      </c>
      <c r="G639" t="inlineStr">
        <is>
          <t>fenepm</t>
        </is>
      </c>
      <c r="H639" t="inlineStr">
        <is>
          <t>c2d2</t>
        </is>
      </c>
      <c r="I639" t="n">
        <v>0.028215</v>
      </c>
      <c r="J639" t="n">
        <v>1</v>
      </c>
      <c r="K639" t="inlineStr">
        <is>
          <t>clasen_boger_m15</t>
        </is>
      </c>
      <c r="L639" t="inlineStr">
        <is>
          <t>julia/experiments/tnwpaper/outputs/exptl_comparison</t>
        </is>
      </c>
      <c r="M639" t="inlineStr">
        <is>
          <t>ABANDONED: M^-1.5 c* convention</t>
        </is>
      </c>
    </row>
    <row r="640">
      <c r="A640" t="b">
        <v>0</v>
      </c>
      <c r="B640" t="n">
        <v>639</v>
      </c>
      <c r="C640" t="inlineStr">
        <is>
          <t>B7</t>
        </is>
      </c>
      <c r="D640" t="inlineStr">
        <is>
          <t>caber</t>
        </is>
      </c>
      <c r="E640" t="n">
        <v>3774</v>
      </c>
      <c r="F640" t="n">
        <v>0.04</v>
      </c>
      <c r="G640" t="inlineStr">
        <is>
          <t>fenepm</t>
        </is>
      </c>
      <c r="H640" t="inlineStr">
        <is>
          <t>constant</t>
        </is>
      </c>
      <c r="I640" t="n">
        <v>0.028215</v>
      </c>
      <c r="J640" t="inlineStr">
        <is>
          <t>[0.01, 0.03, 0.1, 0.3, 1, 3, 10, 30, 100]</t>
        </is>
      </c>
      <c r="K640" t="inlineStr">
        <is>
          <t>clasen_boger_m15</t>
        </is>
      </c>
      <c r="L640" t="inlineStr">
        <is>
          <t>julia/experiments/tnwpaper/outputs/exptl_comparison</t>
        </is>
      </c>
      <c r="M640" t="inlineStr">
        <is>
          <t>ABANDONED: M^-1.5 c* convention</t>
        </is>
      </c>
    </row>
    <row r="641">
      <c r="A641" t="b">
        <v>0</v>
      </c>
      <c r="B641" t="n">
        <v>640</v>
      </c>
      <c r="C641" t="inlineStr">
        <is>
          <t>B7</t>
        </is>
      </c>
      <c r="D641" t="inlineStr">
        <is>
          <t>caber</t>
        </is>
      </c>
      <c r="E641" t="n">
        <v>3774</v>
      </c>
      <c r="F641" t="n">
        <v>0.04</v>
      </c>
      <c r="G641" t="inlineStr">
        <is>
          <t>fenepm</t>
        </is>
      </c>
      <c r="H641" t="inlineStr">
        <is>
          <t>c2d2</t>
        </is>
      </c>
      <c r="I641" t="n">
        <v>0.028215</v>
      </c>
      <c r="J641" t="inlineStr">
        <is>
          <t>[0.01, 0.03, 0.1, 0.3, 1, 3, 10, 30, 100]</t>
        </is>
      </c>
      <c r="K641" t="inlineStr">
        <is>
          <t>clasen_boger_m15</t>
        </is>
      </c>
      <c r="L641" t="inlineStr">
        <is>
          <t>julia/experiments/tnwpaper/outputs/exptl_comparison</t>
        </is>
      </c>
      <c r="M641" t="inlineStr">
        <is>
          <t>ABANDONED: M^-1.5 c* convention</t>
        </is>
      </c>
    </row>
    <row r="642">
      <c r="A642" t="b">
        <v>0</v>
      </c>
      <c r="B642" t="n">
        <v>641</v>
      </c>
      <c r="C642" t="inlineStr">
        <is>
          <t>C1</t>
        </is>
      </c>
      <c r="D642" t="inlineStr">
        <is>
          <t>styext</t>
        </is>
      </c>
      <c r="E642" t="n">
        <v>7682</v>
      </c>
      <c r="F642" t="n">
        <v>0.04</v>
      </c>
      <c r="G642" t="inlineStr">
        <is>
          <t>fenepm</t>
        </is>
      </c>
      <c r="H642" t="inlineStr">
        <is>
          <t>constant</t>
        </is>
      </c>
      <c r="I642" t="n">
        <v>0.004496</v>
      </c>
      <c r="J642" t="n">
        <v>1</v>
      </c>
      <c r="K642" t="inlineStr">
        <is>
          <t>clasen_boger_m15</t>
        </is>
      </c>
      <c r="L642" t="inlineStr">
        <is>
          <t>julia/experiments/tnwpaper/outputs/exptl_comparison</t>
        </is>
      </c>
      <c r="M642" t="inlineStr">
        <is>
          <t>ABANDONED: M^-1.5 c* convention</t>
        </is>
      </c>
    </row>
    <row r="643">
      <c r="A643" t="b">
        <v>0</v>
      </c>
      <c r="B643" t="n">
        <v>642</v>
      </c>
      <c r="C643" t="inlineStr">
        <is>
          <t>C1</t>
        </is>
      </c>
      <c r="D643" t="inlineStr">
        <is>
          <t>styext</t>
        </is>
      </c>
      <c r="E643" t="n">
        <v>7682</v>
      </c>
      <c r="F643" t="n">
        <v>0.04</v>
      </c>
      <c r="G643" t="inlineStr">
        <is>
          <t>fenepm</t>
        </is>
      </c>
      <c r="H643" t="inlineStr">
        <is>
          <t>c2d2</t>
        </is>
      </c>
      <c r="I643" t="n">
        <v>0.004496</v>
      </c>
      <c r="J643" t="n">
        <v>1</v>
      </c>
      <c r="K643" t="inlineStr">
        <is>
          <t>clasen_boger_m15</t>
        </is>
      </c>
      <c r="L643" t="inlineStr">
        <is>
          <t>julia/experiments/tnwpaper/outputs/exptl_comparison</t>
        </is>
      </c>
      <c r="M643" t="inlineStr">
        <is>
          <t>ABANDONED: M^-1.5 c* convention</t>
        </is>
      </c>
    </row>
    <row r="644">
      <c r="A644" t="b">
        <v>0</v>
      </c>
      <c r="B644" t="n">
        <v>643</v>
      </c>
      <c r="C644" t="inlineStr">
        <is>
          <t>C1</t>
        </is>
      </c>
      <c r="D644" t="inlineStr">
        <is>
          <t>caber</t>
        </is>
      </c>
      <c r="E644" t="n">
        <v>7682</v>
      </c>
      <c r="F644" t="n">
        <v>0.04</v>
      </c>
      <c r="G644" t="inlineStr">
        <is>
          <t>fenepm</t>
        </is>
      </c>
      <c r="H644" t="inlineStr">
        <is>
          <t>constant</t>
        </is>
      </c>
      <c r="I644" t="n">
        <v>0.004496</v>
      </c>
      <c r="J644" t="inlineStr">
        <is>
          <t>[0.01, 0.03, 0.1, 0.3, 1, 3, 10, 30, 100]</t>
        </is>
      </c>
      <c r="K644" t="inlineStr">
        <is>
          <t>clasen_boger_m15</t>
        </is>
      </c>
      <c r="L644" t="inlineStr">
        <is>
          <t>julia/experiments/tnwpaper/outputs/exptl_comparison</t>
        </is>
      </c>
      <c r="M644" t="inlineStr">
        <is>
          <t>ABANDONED: M^-1.5 c* convention</t>
        </is>
      </c>
    </row>
    <row r="645">
      <c r="A645" t="b">
        <v>0</v>
      </c>
      <c r="B645" t="n">
        <v>644</v>
      </c>
      <c r="C645" t="inlineStr">
        <is>
          <t>C1</t>
        </is>
      </c>
      <c r="D645" t="inlineStr">
        <is>
          <t>caber</t>
        </is>
      </c>
      <c r="E645" t="n">
        <v>7682</v>
      </c>
      <c r="F645" t="n">
        <v>0.04</v>
      </c>
      <c r="G645" t="inlineStr">
        <is>
          <t>fenepm</t>
        </is>
      </c>
      <c r="H645" t="inlineStr">
        <is>
          <t>c2d2</t>
        </is>
      </c>
      <c r="I645" t="n">
        <v>0.004496</v>
      </c>
      <c r="J645" t="inlineStr">
        <is>
          <t>[0.01, 0.03, 0.1, 0.3, 1, 3, 10, 30, 100]</t>
        </is>
      </c>
      <c r="K645" t="inlineStr">
        <is>
          <t>clasen_boger_m15</t>
        </is>
      </c>
      <c r="L645" t="inlineStr">
        <is>
          <t>julia/experiments/tnwpaper/outputs/exptl_comparison</t>
        </is>
      </c>
      <c r="M645" t="inlineStr">
        <is>
          <t>ABANDONED: M^-1.5 c* convention</t>
        </is>
      </c>
    </row>
    <row r="646">
      <c r="A646" t="b">
        <v>0</v>
      </c>
      <c r="B646" t="n">
        <v>645</v>
      </c>
      <c r="C646" t="inlineStr">
        <is>
          <t>C2</t>
        </is>
      </c>
      <c r="D646" t="inlineStr">
        <is>
          <t>styext</t>
        </is>
      </c>
      <c r="E646" t="n">
        <v>7682</v>
      </c>
      <c r="F646" t="n">
        <v>0.04</v>
      </c>
      <c r="G646" t="inlineStr">
        <is>
          <t>fenepm</t>
        </is>
      </c>
      <c r="H646" t="inlineStr">
        <is>
          <t>constant</t>
        </is>
      </c>
      <c r="I646" t="n">
        <v>0.005691</v>
      </c>
      <c r="J646" t="n">
        <v>1</v>
      </c>
      <c r="K646" t="inlineStr">
        <is>
          <t>clasen_boger_m15</t>
        </is>
      </c>
      <c r="L646" t="inlineStr">
        <is>
          <t>julia/experiments/tnwpaper/outputs/exptl_comparison</t>
        </is>
      </c>
      <c r="M646" t="inlineStr">
        <is>
          <t>ABANDONED: M^-1.5 c* convention</t>
        </is>
      </c>
    </row>
    <row r="647">
      <c r="A647" t="b">
        <v>0</v>
      </c>
      <c r="B647" t="n">
        <v>646</v>
      </c>
      <c r="C647" t="inlineStr">
        <is>
          <t>C2</t>
        </is>
      </c>
      <c r="D647" t="inlineStr">
        <is>
          <t>styext</t>
        </is>
      </c>
      <c r="E647" t="n">
        <v>7682</v>
      </c>
      <c r="F647" t="n">
        <v>0.04</v>
      </c>
      <c r="G647" t="inlineStr">
        <is>
          <t>fenepm</t>
        </is>
      </c>
      <c r="H647" t="inlineStr">
        <is>
          <t>c2d2</t>
        </is>
      </c>
      <c r="I647" t="n">
        <v>0.005691</v>
      </c>
      <c r="J647" t="n">
        <v>1</v>
      </c>
      <c r="K647" t="inlineStr">
        <is>
          <t>clasen_boger_m15</t>
        </is>
      </c>
      <c r="L647" t="inlineStr">
        <is>
          <t>julia/experiments/tnwpaper/outputs/exptl_comparison</t>
        </is>
      </c>
      <c r="M647" t="inlineStr">
        <is>
          <t>ABANDONED: M^-1.5 c* convention</t>
        </is>
      </c>
    </row>
    <row r="648">
      <c r="A648" t="b">
        <v>0</v>
      </c>
      <c r="B648" t="n">
        <v>647</v>
      </c>
      <c r="C648" t="inlineStr">
        <is>
          <t>C2</t>
        </is>
      </c>
      <c r="D648" t="inlineStr">
        <is>
          <t>caber</t>
        </is>
      </c>
      <c r="E648" t="n">
        <v>7682</v>
      </c>
      <c r="F648" t="n">
        <v>0.04</v>
      </c>
      <c r="G648" t="inlineStr">
        <is>
          <t>fenepm</t>
        </is>
      </c>
      <c r="H648" t="inlineStr">
        <is>
          <t>constant</t>
        </is>
      </c>
      <c r="I648" t="n">
        <v>0.005691</v>
      </c>
      <c r="J648" t="inlineStr">
        <is>
          <t>[0.01, 0.03, 0.1, 0.3, 1, 3, 10, 30, 100]</t>
        </is>
      </c>
      <c r="K648" t="inlineStr">
        <is>
          <t>clasen_boger_m15</t>
        </is>
      </c>
      <c r="L648" t="inlineStr">
        <is>
          <t>julia/experiments/tnwpaper/outputs/exptl_comparison</t>
        </is>
      </c>
      <c r="M648" t="inlineStr">
        <is>
          <t>ABANDONED: M^-1.5 c* convention</t>
        </is>
      </c>
    </row>
    <row r="649">
      <c r="A649" t="b">
        <v>0</v>
      </c>
      <c r="B649" t="n">
        <v>648</v>
      </c>
      <c r="C649" t="inlineStr">
        <is>
          <t>C2</t>
        </is>
      </c>
      <c r="D649" t="inlineStr">
        <is>
          <t>caber</t>
        </is>
      </c>
      <c r="E649" t="n">
        <v>7682</v>
      </c>
      <c r="F649" t="n">
        <v>0.04</v>
      </c>
      <c r="G649" t="inlineStr">
        <is>
          <t>fenepm</t>
        </is>
      </c>
      <c r="H649" t="inlineStr">
        <is>
          <t>c2d2</t>
        </is>
      </c>
      <c r="I649" t="n">
        <v>0.005691</v>
      </c>
      <c r="J649" t="inlineStr">
        <is>
          <t>[0.01, 0.03, 0.1, 0.3, 1, 3, 10, 30, 100]</t>
        </is>
      </c>
      <c r="K649" t="inlineStr">
        <is>
          <t>clasen_boger_m15</t>
        </is>
      </c>
      <c r="L649" t="inlineStr">
        <is>
          <t>julia/experiments/tnwpaper/outputs/exptl_comparison</t>
        </is>
      </c>
      <c r="M649" t="inlineStr">
        <is>
          <t>ABANDONED: M^-1.5 c* convention</t>
        </is>
      </c>
    </row>
    <row r="650">
      <c r="A650" t="b">
        <v>0</v>
      </c>
      <c r="B650" t="n">
        <v>649</v>
      </c>
      <c r="C650" t="inlineStr">
        <is>
          <t>C3</t>
        </is>
      </c>
      <c r="D650" t="inlineStr">
        <is>
          <t>styext</t>
        </is>
      </c>
      <c r="E650" t="n">
        <v>7682</v>
      </c>
      <c r="F650" t="n">
        <v>0.04</v>
      </c>
      <c r="G650" t="inlineStr">
        <is>
          <t>fenepm</t>
        </is>
      </c>
      <c r="H650" t="inlineStr">
        <is>
          <t>constant</t>
        </is>
      </c>
      <c r="I650" t="n">
        <v>0.017984</v>
      </c>
      <c r="J650" t="n">
        <v>1</v>
      </c>
      <c r="K650" t="inlineStr">
        <is>
          <t>clasen_boger_m15</t>
        </is>
      </c>
      <c r="L650" t="inlineStr">
        <is>
          <t>julia/experiments/tnwpaper/outputs/exptl_comparison</t>
        </is>
      </c>
      <c r="M650" t="inlineStr">
        <is>
          <t>ABANDONED: M^-1.5 c* convention</t>
        </is>
      </c>
    </row>
    <row r="651">
      <c r="A651" t="b">
        <v>0</v>
      </c>
      <c r="B651" t="n">
        <v>650</v>
      </c>
      <c r="C651" t="inlineStr">
        <is>
          <t>C3</t>
        </is>
      </c>
      <c r="D651" t="inlineStr">
        <is>
          <t>styext</t>
        </is>
      </c>
      <c r="E651" t="n">
        <v>7682</v>
      </c>
      <c r="F651" t="n">
        <v>0.04</v>
      </c>
      <c r="G651" t="inlineStr">
        <is>
          <t>fenepm</t>
        </is>
      </c>
      <c r="H651" t="inlineStr">
        <is>
          <t>c2d2</t>
        </is>
      </c>
      <c r="I651" t="n">
        <v>0.017984</v>
      </c>
      <c r="J651" t="n">
        <v>1</v>
      </c>
      <c r="K651" t="inlineStr">
        <is>
          <t>clasen_boger_m15</t>
        </is>
      </c>
      <c r="L651" t="inlineStr">
        <is>
          <t>julia/experiments/tnwpaper/outputs/exptl_comparison</t>
        </is>
      </c>
      <c r="M651" t="inlineStr">
        <is>
          <t>ABANDONED: M^-1.5 c* convention</t>
        </is>
      </c>
    </row>
    <row r="652">
      <c r="A652" t="b">
        <v>0</v>
      </c>
      <c r="B652" t="n">
        <v>651</v>
      </c>
      <c r="C652" t="inlineStr">
        <is>
          <t>C3</t>
        </is>
      </c>
      <c r="D652" t="inlineStr">
        <is>
          <t>caber</t>
        </is>
      </c>
      <c r="E652" t="n">
        <v>7682</v>
      </c>
      <c r="F652" t="n">
        <v>0.04</v>
      </c>
      <c r="G652" t="inlineStr">
        <is>
          <t>fenepm</t>
        </is>
      </c>
      <c r="H652" t="inlineStr">
        <is>
          <t>constant</t>
        </is>
      </c>
      <c r="I652" t="n">
        <v>0.017984</v>
      </c>
      <c r="J652" t="inlineStr">
        <is>
          <t>[0.01, 0.03, 0.1, 0.3, 1, 3, 10, 30, 100]</t>
        </is>
      </c>
      <c r="K652" t="inlineStr">
        <is>
          <t>clasen_boger_m15</t>
        </is>
      </c>
      <c r="L652" t="inlineStr">
        <is>
          <t>julia/experiments/tnwpaper/outputs/exptl_comparison</t>
        </is>
      </c>
      <c r="M652" t="inlineStr">
        <is>
          <t>ABANDONED: M^-1.5 c* convention</t>
        </is>
      </c>
    </row>
    <row r="653">
      <c r="A653" t="b">
        <v>0</v>
      </c>
      <c r="B653" t="n">
        <v>652</v>
      </c>
      <c r="C653" t="inlineStr">
        <is>
          <t>C3</t>
        </is>
      </c>
      <c r="D653" t="inlineStr">
        <is>
          <t>caber</t>
        </is>
      </c>
      <c r="E653" t="n">
        <v>7682</v>
      </c>
      <c r="F653" t="n">
        <v>0.04</v>
      </c>
      <c r="G653" t="inlineStr">
        <is>
          <t>fenepm</t>
        </is>
      </c>
      <c r="H653" t="inlineStr">
        <is>
          <t>c2d2</t>
        </is>
      </c>
      <c r="I653" t="n">
        <v>0.017984</v>
      </c>
      <c r="J653" t="inlineStr">
        <is>
          <t>[0.01, 0.03, 0.1, 0.3, 1, 3, 10, 30, 100]</t>
        </is>
      </c>
      <c r="K653" t="inlineStr">
        <is>
          <t>clasen_boger_m15</t>
        </is>
      </c>
      <c r="L653" t="inlineStr">
        <is>
          <t>julia/experiments/tnwpaper/outputs/exptl_comparison</t>
        </is>
      </c>
      <c r="M653" t="inlineStr">
        <is>
          <t>ABANDONED: M^-1.5 c* convention</t>
        </is>
      </c>
    </row>
    <row r="654">
      <c r="A654" t="b">
        <v>0</v>
      </c>
      <c r="B654" t="n">
        <v>653</v>
      </c>
      <c r="C654" t="inlineStr">
        <is>
          <t>C4</t>
        </is>
      </c>
      <c r="D654" t="inlineStr">
        <is>
          <t>styext</t>
        </is>
      </c>
      <c r="E654" t="n">
        <v>7682</v>
      </c>
      <c r="F654" t="n">
        <v>0.04</v>
      </c>
      <c r="G654" t="inlineStr">
        <is>
          <t>fenepm</t>
        </is>
      </c>
      <c r="H654" t="inlineStr">
        <is>
          <t>constant</t>
        </is>
      </c>
      <c r="I654" t="n">
        <v>0.056911</v>
      </c>
      <c r="J654" t="n">
        <v>1</v>
      </c>
      <c r="K654" t="inlineStr">
        <is>
          <t>clasen_boger_m15</t>
        </is>
      </c>
      <c r="L654" t="inlineStr">
        <is>
          <t>julia/experiments/tnwpaper/outputs/exptl_comparison</t>
        </is>
      </c>
      <c r="M654" t="inlineStr">
        <is>
          <t>ABANDONED: M^-1.5 c* convention</t>
        </is>
      </c>
    </row>
    <row r="655">
      <c r="A655" t="b">
        <v>0</v>
      </c>
      <c r="B655" t="n">
        <v>654</v>
      </c>
      <c r="C655" t="inlineStr">
        <is>
          <t>C4</t>
        </is>
      </c>
      <c r="D655" t="inlineStr">
        <is>
          <t>styext</t>
        </is>
      </c>
      <c r="E655" t="n">
        <v>7682</v>
      </c>
      <c r="F655" t="n">
        <v>0.04</v>
      </c>
      <c r="G655" t="inlineStr">
        <is>
          <t>fenepm</t>
        </is>
      </c>
      <c r="H655" t="inlineStr">
        <is>
          <t>c2d2</t>
        </is>
      </c>
      <c r="I655" t="n">
        <v>0.056911</v>
      </c>
      <c r="J655" t="n">
        <v>1</v>
      </c>
      <c r="K655" t="inlineStr">
        <is>
          <t>clasen_boger_m15</t>
        </is>
      </c>
      <c r="L655" t="inlineStr">
        <is>
          <t>julia/experiments/tnwpaper/outputs/exptl_comparison</t>
        </is>
      </c>
      <c r="M655" t="inlineStr">
        <is>
          <t>ABANDONED: M^-1.5 c* convention</t>
        </is>
      </c>
    </row>
    <row r="656">
      <c r="A656" t="b">
        <v>0</v>
      </c>
      <c r="B656" t="n">
        <v>655</v>
      </c>
      <c r="C656" t="inlineStr">
        <is>
          <t>C4</t>
        </is>
      </c>
      <c r="D656" t="inlineStr">
        <is>
          <t>caber</t>
        </is>
      </c>
      <c r="E656" t="n">
        <v>7682</v>
      </c>
      <c r="F656" t="n">
        <v>0.04</v>
      </c>
      <c r="G656" t="inlineStr">
        <is>
          <t>fenepm</t>
        </is>
      </c>
      <c r="H656" t="inlineStr">
        <is>
          <t>constant</t>
        </is>
      </c>
      <c r="I656" t="n">
        <v>0.056911</v>
      </c>
      <c r="J656" t="inlineStr">
        <is>
          <t>[0.01, 0.03, 0.1, 0.3, 1, 3, 10, 30, 100]</t>
        </is>
      </c>
      <c r="K656" t="inlineStr">
        <is>
          <t>clasen_boger_m15</t>
        </is>
      </c>
      <c r="L656" t="inlineStr">
        <is>
          <t>julia/experiments/tnwpaper/outputs/exptl_comparison</t>
        </is>
      </c>
      <c r="M656" t="inlineStr">
        <is>
          <t>ABANDONED: M^-1.5 c* convention</t>
        </is>
      </c>
    </row>
    <row r="657">
      <c r="A657" t="b">
        <v>0</v>
      </c>
      <c r="B657" t="n">
        <v>656</v>
      </c>
      <c r="C657" t="inlineStr">
        <is>
          <t>C4</t>
        </is>
      </c>
      <c r="D657" t="inlineStr">
        <is>
          <t>caber</t>
        </is>
      </c>
      <c r="E657" t="n">
        <v>7682</v>
      </c>
      <c r="F657" t="n">
        <v>0.04</v>
      </c>
      <c r="G657" t="inlineStr">
        <is>
          <t>fenepm</t>
        </is>
      </c>
      <c r="H657" t="inlineStr">
        <is>
          <t>c2d2</t>
        </is>
      </c>
      <c r="I657" t="n">
        <v>0.056911</v>
      </c>
      <c r="J657" t="inlineStr">
        <is>
          <t>[0.01, 0.03, 0.1, 0.3, 1, 3, 10, 30, 100]</t>
        </is>
      </c>
      <c r="K657" t="inlineStr">
        <is>
          <t>clasen_boger_m15</t>
        </is>
      </c>
      <c r="L657" t="inlineStr">
        <is>
          <t>julia/experiments/tnwpaper/outputs/exptl_comparison</t>
        </is>
      </c>
      <c r="M657" t="inlineStr">
        <is>
          <t>ABANDONED: M^-1.5 c* convention</t>
        </is>
      </c>
    </row>
    <row r="658">
      <c r="A658" t="b">
        <v>0</v>
      </c>
      <c r="B658" t="n">
        <v>657</v>
      </c>
      <c r="C658" t="inlineStr">
        <is>
          <t>C5</t>
        </is>
      </c>
      <c r="D658" t="inlineStr">
        <is>
          <t>styext</t>
        </is>
      </c>
      <c r="E658" t="n">
        <v>7682</v>
      </c>
      <c r="F658" t="n">
        <v>0.04</v>
      </c>
      <c r="G658" t="inlineStr">
        <is>
          <t>fenepm</t>
        </is>
      </c>
      <c r="H658" t="inlineStr">
        <is>
          <t>constant</t>
        </is>
      </c>
      <c r="I658" t="n">
        <v>0.179838</v>
      </c>
      <c r="J658" t="n">
        <v>1</v>
      </c>
      <c r="K658" t="inlineStr">
        <is>
          <t>clasen_boger_m15</t>
        </is>
      </c>
      <c r="L658" t="inlineStr">
        <is>
          <t>julia/experiments/tnwpaper/outputs/exptl_comparison</t>
        </is>
      </c>
      <c r="M658" t="inlineStr">
        <is>
          <t>ABANDONED: M^-1.5 c* convention</t>
        </is>
      </c>
    </row>
    <row r="659">
      <c r="A659" t="b">
        <v>0</v>
      </c>
      <c r="B659" t="n">
        <v>658</v>
      </c>
      <c r="C659" t="inlineStr">
        <is>
          <t>C5</t>
        </is>
      </c>
      <c r="D659" t="inlineStr">
        <is>
          <t>styext</t>
        </is>
      </c>
      <c r="E659" t="n">
        <v>7682</v>
      </c>
      <c r="F659" t="n">
        <v>0.04</v>
      </c>
      <c r="G659" t="inlineStr">
        <is>
          <t>fenepm</t>
        </is>
      </c>
      <c r="H659" t="inlineStr">
        <is>
          <t>c2d2</t>
        </is>
      </c>
      <c r="I659" t="n">
        <v>0.179838</v>
      </c>
      <c r="J659" t="n">
        <v>1</v>
      </c>
      <c r="K659" t="inlineStr">
        <is>
          <t>clasen_boger_m15</t>
        </is>
      </c>
      <c r="L659" t="inlineStr">
        <is>
          <t>julia/experiments/tnwpaper/outputs/exptl_comparison</t>
        </is>
      </c>
      <c r="M659" t="inlineStr">
        <is>
          <t>ABANDONED: M^-1.5 c* convention</t>
        </is>
      </c>
    </row>
    <row r="660">
      <c r="A660" t="b">
        <v>0</v>
      </c>
      <c r="B660" t="n">
        <v>659</v>
      </c>
      <c r="C660" t="inlineStr">
        <is>
          <t>C5</t>
        </is>
      </c>
      <c r="D660" t="inlineStr">
        <is>
          <t>caber</t>
        </is>
      </c>
      <c r="E660" t="n">
        <v>7682</v>
      </c>
      <c r="F660" t="n">
        <v>0.04</v>
      </c>
      <c r="G660" t="inlineStr">
        <is>
          <t>fenepm</t>
        </is>
      </c>
      <c r="H660" t="inlineStr">
        <is>
          <t>constant</t>
        </is>
      </c>
      <c r="I660" t="n">
        <v>0.179838</v>
      </c>
      <c r="J660" t="inlineStr">
        <is>
          <t>[0.01, 0.03, 0.1, 0.3, 1, 3, 10, 30, 100]</t>
        </is>
      </c>
      <c r="K660" t="inlineStr">
        <is>
          <t>clasen_boger_m15</t>
        </is>
      </c>
      <c r="L660" t="inlineStr">
        <is>
          <t>julia/experiments/tnwpaper/outputs/exptl_comparison</t>
        </is>
      </c>
      <c r="M660" t="inlineStr">
        <is>
          <t>ABANDONED: M^-1.5 c* convention</t>
        </is>
      </c>
    </row>
    <row r="661">
      <c r="A661" t="b">
        <v>0</v>
      </c>
      <c r="B661" t="n">
        <v>660</v>
      </c>
      <c r="C661" t="inlineStr">
        <is>
          <t>C5</t>
        </is>
      </c>
      <c r="D661" t="inlineStr">
        <is>
          <t>caber</t>
        </is>
      </c>
      <c r="E661" t="n">
        <v>7682</v>
      </c>
      <c r="F661" t="n">
        <v>0.04</v>
      </c>
      <c r="G661" t="inlineStr">
        <is>
          <t>fenepm</t>
        </is>
      </c>
      <c r="H661" t="inlineStr">
        <is>
          <t>c2d2</t>
        </is>
      </c>
      <c r="I661" t="n">
        <v>0.179838</v>
      </c>
      <c r="J661" t="inlineStr">
        <is>
          <t>[0.01, 0.03, 0.1, 0.3, 1, 3, 10, 30, 100]</t>
        </is>
      </c>
      <c r="K661" t="inlineStr">
        <is>
          <t>clasen_boger_m15</t>
        </is>
      </c>
      <c r="L661" t="inlineStr">
        <is>
          <t>julia/experiments/tnwpaper/outputs/exptl_comparison</t>
        </is>
      </c>
      <c r="M661" t="inlineStr">
        <is>
          <t>ABANDONED: M^-1.5 c* convention</t>
        </is>
      </c>
    </row>
    <row r="662">
      <c r="A662" t="b">
        <v>0</v>
      </c>
      <c r="B662" t="n">
        <v>661</v>
      </c>
      <c r="C662" t="inlineStr">
        <is>
          <t>D1</t>
        </is>
      </c>
      <c r="D662" t="inlineStr">
        <is>
          <t>styext</t>
        </is>
      </c>
      <c r="E662" t="n">
        <v>8086</v>
      </c>
      <c r="F662" t="n">
        <v>0.04</v>
      </c>
      <c r="G662" t="inlineStr">
        <is>
          <t>fenepm</t>
        </is>
      </c>
      <c r="H662" t="inlineStr">
        <is>
          <t>constant</t>
        </is>
      </c>
      <c r="I662" t="n">
        <v>0.006146</v>
      </c>
      <c r="J662" t="n">
        <v>1</v>
      </c>
      <c r="K662" t="inlineStr">
        <is>
          <t>clasen_boger_m15</t>
        </is>
      </c>
      <c r="L662" t="inlineStr">
        <is>
          <t>julia/experiments/tnwpaper/outputs/exptl_comparison</t>
        </is>
      </c>
      <c r="M662" t="inlineStr">
        <is>
          <t>ABANDONED: M^-1.5 c* convention</t>
        </is>
      </c>
    </row>
    <row r="663">
      <c r="A663" t="b">
        <v>0</v>
      </c>
      <c r="B663" t="n">
        <v>662</v>
      </c>
      <c r="C663" t="inlineStr">
        <is>
          <t>D1</t>
        </is>
      </c>
      <c r="D663" t="inlineStr">
        <is>
          <t>styext</t>
        </is>
      </c>
      <c r="E663" t="n">
        <v>8086</v>
      </c>
      <c r="F663" t="n">
        <v>0.04</v>
      </c>
      <c r="G663" t="inlineStr">
        <is>
          <t>fenepm</t>
        </is>
      </c>
      <c r="H663" t="inlineStr">
        <is>
          <t>c2d2</t>
        </is>
      </c>
      <c r="I663" t="n">
        <v>0.006146</v>
      </c>
      <c r="J663" t="n">
        <v>1</v>
      </c>
      <c r="K663" t="inlineStr">
        <is>
          <t>clasen_boger_m15</t>
        </is>
      </c>
      <c r="L663" t="inlineStr">
        <is>
          <t>julia/experiments/tnwpaper/outputs/exptl_comparison</t>
        </is>
      </c>
      <c r="M663" t="inlineStr">
        <is>
          <t>ABANDONED: M^-1.5 c* convention</t>
        </is>
      </c>
    </row>
    <row r="664">
      <c r="A664" t="b">
        <v>0</v>
      </c>
      <c r="B664" t="n">
        <v>663</v>
      </c>
      <c r="C664" t="inlineStr">
        <is>
          <t>D1</t>
        </is>
      </c>
      <c r="D664" t="inlineStr">
        <is>
          <t>caber</t>
        </is>
      </c>
      <c r="E664" t="n">
        <v>8086</v>
      </c>
      <c r="F664" t="n">
        <v>0.04</v>
      </c>
      <c r="G664" t="inlineStr">
        <is>
          <t>fenepm</t>
        </is>
      </c>
      <c r="H664" t="inlineStr">
        <is>
          <t>constant</t>
        </is>
      </c>
      <c r="I664" t="n">
        <v>0.006146</v>
      </c>
      <c r="J664" t="inlineStr">
        <is>
          <t>[0.01, 0.03, 0.1, 0.3, 1, 3, 10, 30, 100]</t>
        </is>
      </c>
      <c r="K664" t="inlineStr">
        <is>
          <t>clasen_boger_m15</t>
        </is>
      </c>
      <c r="L664" t="inlineStr">
        <is>
          <t>julia/experiments/tnwpaper/outputs/exptl_comparison</t>
        </is>
      </c>
      <c r="M664" t="inlineStr">
        <is>
          <t>ABANDONED: M^-1.5 c* convention</t>
        </is>
      </c>
    </row>
    <row r="665">
      <c r="A665" t="b">
        <v>0</v>
      </c>
      <c r="B665" t="n">
        <v>664</v>
      </c>
      <c r="C665" t="inlineStr">
        <is>
          <t>D1</t>
        </is>
      </c>
      <c r="D665" t="inlineStr">
        <is>
          <t>caber</t>
        </is>
      </c>
      <c r="E665" t="n">
        <v>8086</v>
      </c>
      <c r="F665" t="n">
        <v>0.04</v>
      </c>
      <c r="G665" t="inlineStr">
        <is>
          <t>fenepm</t>
        </is>
      </c>
      <c r="H665" t="inlineStr">
        <is>
          <t>c2d2</t>
        </is>
      </c>
      <c r="I665" t="n">
        <v>0.006146</v>
      </c>
      <c r="J665" t="inlineStr">
        <is>
          <t>[0.01, 0.03, 0.1, 0.3, 1, 3, 10, 30, 100]</t>
        </is>
      </c>
      <c r="K665" t="inlineStr">
        <is>
          <t>clasen_boger_m15</t>
        </is>
      </c>
      <c r="L665" t="inlineStr">
        <is>
          <t>julia/experiments/tnwpaper/outputs/exptl_comparison</t>
        </is>
      </c>
      <c r="M665" t="inlineStr">
        <is>
          <t>ABANDONED: M^-1.5 c* convention</t>
        </is>
      </c>
    </row>
    <row r="666">
      <c r="A666" t="b">
        <v>0</v>
      </c>
      <c r="B666" t="n">
        <v>665</v>
      </c>
      <c r="C666" t="inlineStr">
        <is>
          <t>D2</t>
        </is>
      </c>
      <c r="D666" t="inlineStr">
        <is>
          <t>styext</t>
        </is>
      </c>
      <c r="E666" t="n">
        <v>8086</v>
      </c>
      <c r="F666" t="n">
        <v>0.04</v>
      </c>
      <c r="G666" t="inlineStr">
        <is>
          <t>fenepm</t>
        </is>
      </c>
      <c r="H666" t="inlineStr">
        <is>
          <t>constant</t>
        </is>
      </c>
      <c r="I666" t="n">
        <v>0.030731</v>
      </c>
      <c r="J666" t="n">
        <v>1</v>
      </c>
      <c r="K666" t="inlineStr">
        <is>
          <t>clasen_boger_m15</t>
        </is>
      </c>
      <c r="L666" t="inlineStr">
        <is>
          <t>julia/experiments/tnwpaper/outputs/exptl_comparison</t>
        </is>
      </c>
      <c r="M666" t="inlineStr">
        <is>
          <t>ABANDONED: M^-1.5 c* convention</t>
        </is>
      </c>
    </row>
    <row r="667">
      <c r="A667" t="b">
        <v>0</v>
      </c>
      <c r="B667" t="n">
        <v>666</v>
      </c>
      <c r="C667" t="inlineStr">
        <is>
          <t>D2</t>
        </is>
      </c>
      <c r="D667" t="inlineStr">
        <is>
          <t>styext</t>
        </is>
      </c>
      <c r="E667" t="n">
        <v>8086</v>
      </c>
      <c r="F667" t="n">
        <v>0.04</v>
      </c>
      <c r="G667" t="inlineStr">
        <is>
          <t>fenepm</t>
        </is>
      </c>
      <c r="H667" t="inlineStr">
        <is>
          <t>c2d2</t>
        </is>
      </c>
      <c r="I667" t="n">
        <v>0.030731</v>
      </c>
      <c r="J667" t="n">
        <v>1</v>
      </c>
      <c r="K667" t="inlineStr">
        <is>
          <t>clasen_boger_m15</t>
        </is>
      </c>
      <c r="L667" t="inlineStr">
        <is>
          <t>julia/experiments/tnwpaper/outputs/exptl_comparison</t>
        </is>
      </c>
      <c r="M667" t="inlineStr">
        <is>
          <t>ABANDONED: M^-1.5 c* convention</t>
        </is>
      </c>
    </row>
    <row r="668">
      <c r="A668" t="b">
        <v>0</v>
      </c>
      <c r="B668" t="n">
        <v>667</v>
      </c>
      <c r="C668" t="inlineStr">
        <is>
          <t>D2</t>
        </is>
      </c>
      <c r="D668" t="inlineStr">
        <is>
          <t>caber</t>
        </is>
      </c>
      <c r="E668" t="n">
        <v>8086</v>
      </c>
      <c r="F668" t="n">
        <v>0.04</v>
      </c>
      <c r="G668" t="inlineStr">
        <is>
          <t>fenepm</t>
        </is>
      </c>
      <c r="H668" t="inlineStr">
        <is>
          <t>constant</t>
        </is>
      </c>
      <c r="I668" t="n">
        <v>0.030731</v>
      </c>
      <c r="J668" t="inlineStr">
        <is>
          <t>[0.01, 0.03, 0.1, 0.3, 1, 3, 10, 30, 100]</t>
        </is>
      </c>
      <c r="K668" t="inlineStr">
        <is>
          <t>clasen_boger_m15</t>
        </is>
      </c>
      <c r="L668" t="inlineStr">
        <is>
          <t>julia/experiments/tnwpaper/outputs/exptl_comparison</t>
        </is>
      </c>
      <c r="M668" t="inlineStr">
        <is>
          <t>ABANDONED: M^-1.5 c* convention</t>
        </is>
      </c>
    </row>
    <row r="669">
      <c r="A669" t="b">
        <v>0</v>
      </c>
      <c r="B669" t="n">
        <v>668</v>
      </c>
      <c r="C669" t="inlineStr">
        <is>
          <t>D2</t>
        </is>
      </c>
      <c r="D669" t="inlineStr">
        <is>
          <t>caber</t>
        </is>
      </c>
      <c r="E669" t="n">
        <v>8086</v>
      </c>
      <c r="F669" t="n">
        <v>0.04</v>
      </c>
      <c r="G669" t="inlineStr">
        <is>
          <t>fenepm</t>
        </is>
      </c>
      <c r="H669" t="inlineStr">
        <is>
          <t>c2d2</t>
        </is>
      </c>
      <c r="I669" t="n">
        <v>0.030731</v>
      </c>
      <c r="J669" t="inlineStr">
        <is>
          <t>[0.01, 0.03, 0.1, 0.3, 1, 3, 10, 30, 100]</t>
        </is>
      </c>
      <c r="K669" t="inlineStr">
        <is>
          <t>clasen_boger_m15</t>
        </is>
      </c>
      <c r="L669" t="inlineStr">
        <is>
          <t>julia/experiments/tnwpaper/outputs/exptl_comparison</t>
        </is>
      </c>
      <c r="M669" t="inlineStr">
        <is>
          <t>ABANDONED: M^-1.5 c* convention</t>
        </is>
      </c>
    </row>
    <row r="670">
      <c r="A670" t="b">
        <v>0</v>
      </c>
      <c r="B670" t="n">
        <v>669</v>
      </c>
      <c r="C670" t="inlineStr">
        <is>
          <t>D3</t>
        </is>
      </c>
      <c r="D670" t="inlineStr">
        <is>
          <t>styext</t>
        </is>
      </c>
      <c r="E670" t="n">
        <v>8086</v>
      </c>
      <c r="F670" t="n">
        <v>0.04</v>
      </c>
      <c r="G670" t="inlineStr">
        <is>
          <t>fenepm</t>
        </is>
      </c>
      <c r="H670" t="inlineStr">
        <is>
          <t>constant</t>
        </is>
      </c>
      <c r="I670" t="n">
        <v>0.061462</v>
      </c>
      <c r="J670" t="n">
        <v>1</v>
      </c>
      <c r="K670" t="inlineStr">
        <is>
          <t>clasen_boger_m15</t>
        </is>
      </c>
      <c r="L670" t="inlineStr">
        <is>
          <t>julia/experiments/tnwpaper/outputs/exptl_comparison</t>
        </is>
      </c>
      <c r="M670" t="inlineStr">
        <is>
          <t>ABANDONED: M^-1.5 c* convention</t>
        </is>
      </c>
    </row>
    <row r="671">
      <c r="A671" t="b">
        <v>0</v>
      </c>
      <c r="B671" t="n">
        <v>670</v>
      </c>
      <c r="C671" t="inlineStr">
        <is>
          <t>D3</t>
        </is>
      </c>
      <c r="D671" t="inlineStr">
        <is>
          <t>styext</t>
        </is>
      </c>
      <c r="E671" t="n">
        <v>8086</v>
      </c>
      <c r="F671" t="n">
        <v>0.04</v>
      </c>
      <c r="G671" t="inlineStr">
        <is>
          <t>fenepm</t>
        </is>
      </c>
      <c r="H671" t="inlineStr">
        <is>
          <t>c2d2</t>
        </is>
      </c>
      <c r="I671" t="n">
        <v>0.061462</v>
      </c>
      <c r="J671" t="n">
        <v>1</v>
      </c>
      <c r="K671" t="inlineStr">
        <is>
          <t>clasen_boger_m15</t>
        </is>
      </c>
      <c r="L671" t="inlineStr">
        <is>
          <t>julia/experiments/tnwpaper/outputs/exptl_comparison</t>
        </is>
      </c>
      <c r="M671" t="inlineStr">
        <is>
          <t>ABANDONED: M^-1.5 c* convention</t>
        </is>
      </c>
    </row>
    <row r="672">
      <c r="A672" t="b">
        <v>0</v>
      </c>
      <c r="B672" t="n">
        <v>671</v>
      </c>
      <c r="C672" t="inlineStr">
        <is>
          <t>D3</t>
        </is>
      </c>
      <c r="D672" t="inlineStr">
        <is>
          <t>caber</t>
        </is>
      </c>
      <c r="E672" t="n">
        <v>8086</v>
      </c>
      <c r="F672" t="n">
        <v>0.04</v>
      </c>
      <c r="G672" t="inlineStr">
        <is>
          <t>fenepm</t>
        </is>
      </c>
      <c r="H672" t="inlineStr">
        <is>
          <t>constant</t>
        </is>
      </c>
      <c r="I672" t="n">
        <v>0.061462</v>
      </c>
      <c r="J672" t="inlineStr">
        <is>
          <t>[0.01, 0.03, 0.1, 0.3, 1, 3, 10, 30, 100]</t>
        </is>
      </c>
      <c r="K672" t="inlineStr">
        <is>
          <t>clasen_boger_m15</t>
        </is>
      </c>
      <c r="L672" t="inlineStr">
        <is>
          <t>julia/experiments/tnwpaper/outputs/exptl_comparison</t>
        </is>
      </c>
      <c r="M672" t="inlineStr">
        <is>
          <t>ABANDONED: M^-1.5 c* convention</t>
        </is>
      </c>
    </row>
    <row r="673">
      <c r="A673" t="b">
        <v>0</v>
      </c>
      <c r="B673" t="n">
        <v>672</v>
      </c>
      <c r="C673" t="inlineStr">
        <is>
          <t>D3</t>
        </is>
      </c>
      <c r="D673" t="inlineStr">
        <is>
          <t>caber</t>
        </is>
      </c>
      <c r="E673" t="n">
        <v>8086</v>
      </c>
      <c r="F673" t="n">
        <v>0.04</v>
      </c>
      <c r="G673" t="inlineStr">
        <is>
          <t>fenepm</t>
        </is>
      </c>
      <c r="H673" t="inlineStr">
        <is>
          <t>c2d2</t>
        </is>
      </c>
      <c r="I673" t="n">
        <v>0.061462</v>
      </c>
      <c r="J673" t="inlineStr">
        <is>
          <t>[0.01, 0.03, 0.1, 0.3, 1, 3, 10, 30, 100]</t>
        </is>
      </c>
      <c r="K673" t="inlineStr">
        <is>
          <t>clasen_boger_m15</t>
        </is>
      </c>
      <c r="L673" t="inlineStr">
        <is>
          <t>julia/experiments/tnwpaper/outputs/exptl_comparison</t>
        </is>
      </c>
      <c r="M673" t="inlineStr">
        <is>
          <t>ABANDONED: M^-1.5 c* convention</t>
        </is>
      </c>
    </row>
    <row r="674">
      <c r="A674" t="b">
        <v>0</v>
      </c>
      <c r="B674" t="n">
        <v>673</v>
      </c>
      <c r="C674" t="inlineStr">
        <is>
          <t>D4</t>
        </is>
      </c>
      <c r="D674" t="inlineStr">
        <is>
          <t>styext</t>
        </is>
      </c>
      <c r="E674" t="n">
        <v>8086</v>
      </c>
      <c r="F674" t="n">
        <v>0.04</v>
      </c>
      <c r="G674" t="inlineStr">
        <is>
          <t>fenepm</t>
        </is>
      </c>
      <c r="H674" t="inlineStr">
        <is>
          <t>constant</t>
        </is>
      </c>
      <c r="I674" t="n">
        <v>0.153656</v>
      </c>
      <c r="J674" t="n">
        <v>1</v>
      </c>
      <c r="K674" t="inlineStr">
        <is>
          <t>clasen_boger_m15</t>
        </is>
      </c>
      <c r="L674" t="inlineStr">
        <is>
          <t>julia/experiments/tnwpaper/outputs/exptl_comparison</t>
        </is>
      </c>
      <c r="M674" t="inlineStr">
        <is>
          <t>ABANDONED: M^-1.5 c* convention</t>
        </is>
      </c>
    </row>
    <row r="675">
      <c r="A675" t="b">
        <v>0</v>
      </c>
      <c r="B675" t="n">
        <v>674</v>
      </c>
      <c r="C675" t="inlineStr">
        <is>
          <t>D4</t>
        </is>
      </c>
      <c r="D675" t="inlineStr">
        <is>
          <t>styext</t>
        </is>
      </c>
      <c r="E675" t="n">
        <v>8086</v>
      </c>
      <c r="F675" t="n">
        <v>0.04</v>
      </c>
      <c r="G675" t="inlineStr">
        <is>
          <t>fenepm</t>
        </is>
      </c>
      <c r="H675" t="inlineStr">
        <is>
          <t>c2d2</t>
        </is>
      </c>
      <c r="I675" t="n">
        <v>0.153656</v>
      </c>
      <c r="J675" t="n">
        <v>1</v>
      </c>
      <c r="K675" t="inlineStr">
        <is>
          <t>clasen_boger_m15</t>
        </is>
      </c>
      <c r="L675" t="inlineStr">
        <is>
          <t>julia/experiments/tnwpaper/outputs/exptl_comparison</t>
        </is>
      </c>
      <c r="M675" t="inlineStr">
        <is>
          <t>ABANDONED: M^-1.5 c* convention</t>
        </is>
      </c>
    </row>
    <row r="676">
      <c r="A676" t="b">
        <v>0</v>
      </c>
      <c r="B676" t="n">
        <v>675</v>
      </c>
      <c r="C676" t="inlineStr">
        <is>
          <t>D4</t>
        </is>
      </c>
      <c r="D676" t="inlineStr">
        <is>
          <t>caber</t>
        </is>
      </c>
      <c r="E676" t="n">
        <v>8086</v>
      </c>
      <c r="F676" t="n">
        <v>0.04</v>
      </c>
      <c r="G676" t="inlineStr">
        <is>
          <t>fenepm</t>
        </is>
      </c>
      <c r="H676" t="inlineStr">
        <is>
          <t>constant</t>
        </is>
      </c>
      <c r="I676" t="n">
        <v>0.153656</v>
      </c>
      <c r="J676" t="inlineStr">
        <is>
          <t>[0.01, 0.03, 0.1, 0.3, 1, 3, 10, 30, 100]</t>
        </is>
      </c>
      <c r="K676" t="inlineStr">
        <is>
          <t>clasen_boger_m15</t>
        </is>
      </c>
      <c r="L676" t="inlineStr">
        <is>
          <t>julia/experiments/tnwpaper/outputs/exptl_comparison</t>
        </is>
      </c>
      <c r="M676" t="inlineStr">
        <is>
          <t>ABANDONED: M^-1.5 c* convention</t>
        </is>
      </c>
    </row>
    <row r="677">
      <c r="A677" t="b">
        <v>0</v>
      </c>
      <c r="B677" t="n">
        <v>676</v>
      </c>
      <c r="C677" t="inlineStr">
        <is>
          <t>D4</t>
        </is>
      </c>
      <c r="D677" t="inlineStr">
        <is>
          <t>caber</t>
        </is>
      </c>
      <c r="E677" t="n">
        <v>8086</v>
      </c>
      <c r="F677" t="n">
        <v>0.04</v>
      </c>
      <c r="G677" t="inlineStr">
        <is>
          <t>fenepm</t>
        </is>
      </c>
      <c r="H677" t="inlineStr">
        <is>
          <t>c2d2</t>
        </is>
      </c>
      <c r="I677" t="n">
        <v>0.153656</v>
      </c>
      <c r="J677" t="inlineStr">
        <is>
          <t>[0.01, 0.03, 0.1, 0.3, 1, 3, 10, 30, 100]</t>
        </is>
      </c>
      <c r="K677" t="inlineStr">
        <is>
          <t>clasen_boger_m15</t>
        </is>
      </c>
      <c r="L677" t="inlineStr">
        <is>
          <t>julia/experiments/tnwpaper/outputs/exptl_comparison</t>
        </is>
      </c>
      <c r="M677" t="inlineStr">
        <is>
          <t>ABANDONED: M^-1.5 c* convention</t>
        </is>
      </c>
    </row>
    <row r="678">
      <c r="A678" t="b">
        <v>0</v>
      </c>
      <c r="B678" t="n">
        <v>677</v>
      </c>
      <c r="C678" t="inlineStr">
        <is>
          <t>D5</t>
        </is>
      </c>
      <c r="D678" t="inlineStr">
        <is>
          <t>styext</t>
        </is>
      </c>
      <c r="E678" t="n">
        <v>8086</v>
      </c>
      <c r="F678" t="n">
        <v>0.04</v>
      </c>
      <c r="G678" t="inlineStr">
        <is>
          <t>fenepm</t>
        </is>
      </c>
      <c r="H678" t="inlineStr">
        <is>
          <t>constant</t>
        </is>
      </c>
      <c r="I678" t="n">
        <v>0.460968</v>
      </c>
      <c r="J678" t="n">
        <v>1</v>
      </c>
      <c r="K678" t="inlineStr">
        <is>
          <t>clasen_boger_m15</t>
        </is>
      </c>
      <c r="L678" t="inlineStr">
        <is>
          <t>julia/experiments/tnwpaper/outputs/exptl_comparison</t>
        </is>
      </c>
      <c r="M678" t="inlineStr">
        <is>
          <t>ABANDONED: M^-1.5 c* convention</t>
        </is>
      </c>
    </row>
    <row r="679">
      <c r="A679" t="b">
        <v>0</v>
      </c>
      <c r="B679" t="n">
        <v>678</v>
      </c>
      <c r="C679" t="inlineStr">
        <is>
          <t>D5</t>
        </is>
      </c>
      <c r="D679" t="inlineStr">
        <is>
          <t>styext</t>
        </is>
      </c>
      <c r="E679" t="n">
        <v>8086</v>
      </c>
      <c r="F679" t="n">
        <v>0.04</v>
      </c>
      <c r="G679" t="inlineStr">
        <is>
          <t>fenepm</t>
        </is>
      </c>
      <c r="H679" t="inlineStr">
        <is>
          <t>c2d2</t>
        </is>
      </c>
      <c r="I679" t="n">
        <v>0.460968</v>
      </c>
      <c r="J679" t="n">
        <v>1</v>
      </c>
      <c r="K679" t="inlineStr">
        <is>
          <t>clasen_boger_m15</t>
        </is>
      </c>
      <c r="L679" t="inlineStr">
        <is>
          <t>julia/experiments/tnwpaper/outputs/exptl_comparison</t>
        </is>
      </c>
      <c r="M679" t="inlineStr">
        <is>
          <t>ABANDONED: M^-1.5 c* convention</t>
        </is>
      </c>
    </row>
    <row r="680">
      <c r="A680" t="b">
        <v>0</v>
      </c>
      <c r="B680" t="n">
        <v>679</v>
      </c>
      <c r="C680" t="inlineStr">
        <is>
          <t>D5</t>
        </is>
      </c>
      <c r="D680" t="inlineStr">
        <is>
          <t>caber</t>
        </is>
      </c>
      <c r="E680" t="n">
        <v>8086</v>
      </c>
      <c r="F680" t="n">
        <v>0.04</v>
      </c>
      <c r="G680" t="inlineStr">
        <is>
          <t>fenepm</t>
        </is>
      </c>
      <c r="H680" t="inlineStr">
        <is>
          <t>constant</t>
        </is>
      </c>
      <c r="I680" t="n">
        <v>0.460968</v>
      </c>
      <c r="J680" t="inlineStr">
        <is>
          <t>[0.01, 0.03, 0.1, 0.3, 1, 3, 10, 30, 100]</t>
        </is>
      </c>
      <c r="K680" t="inlineStr">
        <is>
          <t>clasen_boger_m15</t>
        </is>
      </c>
      <c r="L680" t="inlineStr">
        <is>
          <t>julia/experiments/tnwpaper/outputs/exptl_comparison</t>
        </is>
      </c>
      <c r="M680" t="inlineStr">
        <is>
          <t>ABANDONED: M^-1.5 c* convention</t>
        </is>
      </c>
    </row>
    <row r="681">
      <c r="A681" t="b">
        <v>0</v>
      </c>
      <c r="B681" t="n">
        <v>680</v>
      </c>
      <c r="C681" t="inlineStr">
        <is>
          <t>D5</t>
        </is>
      </c>
      <c r="D681" t="inlineStr">
        <is>
          <t>caber</t>
        </is>
      </c>
      <c r="E681" t="n">
        <v>8086</v>
      </c>
      <c r="F681" t="n">
        <v>0.04</v>
      </c>
      <c r="G681" t="inlineStr">
        <is>
          <t>fenepm</t>
        </is>
      </c>
      <c r="H681" t="inlineStr">
        <is>
          <t>c2d2</t>
        </is>
      </c>
      <c r="I681" t="n">
        <v>0.460968</v>
      </c>
      <c r="J681" t="inlineStr">
        <is>
          <t>[0.01, 0.03, 0.1, 0.3, 1, 3, 10, 30, 100]</t>
        </is>
      </c>
      <c r="K681" t="inlineStr">
        <is>
          <t>clasen_boger_m15</t>
        </is>
      </c>
      <c r="L681" t="inlineStr">
        <is>
          <t>julia/experiments/tnwpaper/outputs/exptl_comparison</t>
        </is>
      </c>
      <c r="M681" t="inlineStr">
        <is>
          <t>ABANDONED: M^-1.5 c* convention</t>
        </is>
      </c>
    </row>
    <row r="682">
      <c r="A682" t="b">
        <v>0</v>
      </c>
      <c r="B682" t="n">
        <v>681</v>
      </c>
      <c r="C682" t="inlineStr">
        <is>
          <t>E1</t>
        </is>
      </c>
      <c r="D682" t="inlineStr">
        <is>
          <t>styext</t>
        </is>
      </c>
      <c r="E682" t="n">
        <v>11186</v>
      </c>
      <c r="F682" t="n">
        <v>0.03</v>
      </c>
      <c r="G682" t="inlineStr">
        <is>
          <t>fenepm</t>
        </is>
      </c>
      <c r="H682" t="inlineStr">
        <is>
          <t>constant</t>
        </is>
      </c>
      <c r="I682" t="n">
        <v>0.007900000000000001</v>
      </c>
      <c r="J682" t="n">
        <v>1</v>
      </c>
      <c r="K682" t="inlineStr">
        <is>
          <t>clasen_m15</t>
        </is>
      </c>
      <c r="L682" t="inlineStr">
        <is>
          <t>julia/experiments/tnwpaper/outputs/exptl_comparison</t>
        </is>
      </c>
      <c r="M682" t="inlineStr">
        <is>
          <t>ABANDONED: Sample-E M^-1.5 (use clasen_e_km)</t>
        </is>
      </c>
    </row>
    <row r="683">
      <c r="A683" t="b">
        <v>0</v>
      </c>
      <c r="B683" t="n">
        <v>682</v>
      </c>
      <c r="C683" t="inlineStr">
        <is>
          <t>E1</t>
        </is>
      </c>
      <c r="D683" t="inlineStr">
        <is>
          <t>styext</t>
        </is>
      </c>
      <c r="E683" t="n">
        <v>11186</v>
      </c>
      <c r="F683" t="n">
        <v>0.03</v>
      </c>
      <c r="G683" t="inlineStr">
        <is>
          <t>fenepm</t>
        </is>
      </c>
      <c r="H683" t="inlineStr">
        <is>
          <t>c2d2</t>
        </is>
      </c>
      <c r="I683" t="n">
        <v>0.007900000000000001</v>
      </c>
      <c r="J683" t="n">
        <v>1</v>
      </c>
      <c r="K683" t="inlineStr">
        <is>
          <t>clasen_m15</t>
        </is>
      </c>
      <c r="L683" t="inlineStr">
        <is>
          <t>julia/experiments/tnwpaper/outputs/exptl_comparison</t>
        </is>
      </c>
      <c r="M683" t="inlineStr">
        <is>
          <t>ABANDONED: Sample-E M^-1.5 (use clasen_e_km)</t>
        </is>
      </c>
    </row>
    <row r="684">
      <c r="A684" t="b">
        <v>0</v>
      </c>
      <c r="B684" t="n">
        <v>683</v>
      </c>
      <c r="C684" t="inlineStr">
        <is>
          <t>E1</t>
        </is>
      </c>
      <c r="D684" t="inlineStr">
        <is>
          <t>caber</t>
        </is>
      </c>
      <c r="E684" t="n">
        <v>11186</v>
      </c>
      <c r="F684" t="n">
        <v>0.03</v>
      </c>
      <c r="G684" t="inlineStr">
        <is>
          <t>fenepm</t>
        </is>
      </c>
      <c r="H684" t="inlineStr">
        <is>
          <t>constant</t>
        </is>
      </c>
      <c r="I684" t="n">
        <v>0.007900000000000001</v>
      </c>
      <c r="J684" t="inlineStr">
        <is>
          <t>[0.01, 0.03, 0.1, 0.3, 1, 3, 10, 30, 100]</t>
        </is>
      </c>
      <c r="K684" t="inlineStr">
        <is>
          <t>clasen_m15</t>
        </is>
      </c>
      <c r="L684" t="inlineStr">
        <is>
          <t>julia/experiments/tnwpaper/outputs/exptl_comparison</t>
        </is>
      </c>
      <c r="M684" t="inlineStr">
        <is>
          <t>ABANDONED: Sample-E M^-1.5 (use clasen_e_km)</t>
        </is>
      </c>
    </row>
    <row r="685">
      <c r="A685" t="b">
        <v>0</v>
      </c>
      <c r="B685" t="n">
        <v>684</v>
      </c>
      <c r="C685" t="inlineStr">
        <is>
          <t>E1</t>
        </is>
      </c>
      <c r="D685" t="inlineStr">
        <is>
          <t>caber</t>
        </is>
      </c>
      <c r="E685" t="n">
        <v>11186</v>
      </c>
      <c r="F685" t="n">
        <v>0.03</v>
      </c>
      <c r="G685" t="inlineStr">
        <is>
          <t>fenepm</t>
        </is>
      </c>
      <c r="H685" t="inlineStr">
        <is>
          <t>c2d2</t>
        </is>
      </c>
      <c r="I685" t="n">
        <v>0.007900000000000001</v>
      </c>
      <c r="J685" t="inlineStr">
        <is>
          <t>[0.01, 0.03, 0.1, 0.3, 1, 3, 10, 30, 100]</t>
        </is>
      </c>
      <c r="K685" t="inlineStr">
        <is>
          <t>clasen_m15</t>
        </is>
      </c>
      <c r="L685" t="inlineStr">
        <is>
          <t>julia/experiments/tnwpaper/outputs/exptl_comparison</t>
        </is>
      </c>
      <c r="M685" t="inlineStr">
        <is>
          <t>ABANDONED: Sample-E M^-1.5 (use clasen_e_km)</t>
        </is>
      </c>
    </row>
    <row r="686">
      <c r="A686" t="b">
        <v>0</v>
      </c>
      <c r="B686" t="n">
        <v>685</v>
      </c>
      <c r="C686" t="inlineStr">
        <is>
          <t>E2</t>
        </is>
      </c>
      <c r="D686" t="inlineStr">
        <is>
          <t>styext</t>
        </is>
      </c>
      <c r="E686" t="n">
        <v>11186</v>
      </c>
      <c r="F686" t="n">
        <v>0.03</v>
      </c>
      <c r="G686" t="inlineStr">
        <is>
          <t>fenepm</t>
        </is>
      </c>
      <c r="H686" t="inlineStr">
        <is>
          <t>constant</t>
        </is>
      </c>
      <c r="I686" t="n">
        <v>0.01</v>
      </c>
      <c r="J686" t="n">
        <v>1</v>
      </c>
      <c r="K686" t="inlineStr">
        <is>
          <t>clasen_m15</t>
        </is>
      </c>
      <c r="L686" t="inlineStr">
        <is>
          <t>julia/experiments/tnwpaper/outputs/exptl_comparison</t>
        </is>
      </c>
      <c r="M686" t="inlineStr">
        <is>
          <t>ABANDONED: Sample-E M^-1.5 (use clasen_e_km)</t>
        </is>
      </c>
    </row>
    <row r="687">
      <c r="A687" t="b">
        <v>0</v>
      </c>
      <c r="B687" t="n">
        <v>686</v>
      </c>
      <c r="C687" t="inlineStr">
        <is>
          <t>E2</t>
        </is>
      </c>
      <c r="D687" t="inlineStr">
        <is>
          <t>styext</t>
        </is>
      </c>
      <c r="E687" t="n">
        <v>11186</v>
      </c>
      <c r="F687" t="n">
        <v>0.03</v>
      </c>
      <c r="G687" t="inlineStr">
        <is>
          <t>fenepm</t>
        </is>
      </c>
      <c r="H687" t="inlineStr">
        <is>
          <t>c2d2</t>
        </is>
      </c>
      <c r="I687" t="n">
        <v>0.01</v>
      </c>
      <c r="J687" t="n">
        <v>1</v>
      </c>
      <c r="K687" t="inlineStr">
        <is>
          <t>clasen_m15</t>
        </is>
      </c>
      <c r="L687" t="inlineStr">
        <is>
          <t>julia/experiments/tnwpaper/outputs/exptl_comparison</t>
        </is>
      </c>
      <c r="M687" t="inlineStr">
        <is>
          <t>ABANDONED: Sample-E M^-1.5 (use clasen_e_km)</t>
        </is>
      </c>
    </row>
    <row r="688">
      <c r="A688" t="b">
        <v>0</v>
      </c>
      <c r="B688" t="n">
        <v>687</v>
      </c>
      <c r="C688" t="inlineStr">
        <is>
          <t>E2</t>
        </is>
      </c>
      <c r="D688" t="inlineStr">
        <is>
          <t>caber</t>
        </is>
      </c>
      <c r="E688" t="n">
        <v>11186</v>
      </c>
      <c r="F688" t="n">
        <v>0.03</v>
      </c>
      <c r="G688" t="inlineStr">
        <is>
          <t>fenepm</t>
        </is>
      </c>
      <c r="H688" t="inlineStr">
        <is>
          <t>constant</t>
        </is>
      </c>
      <c r="I688" t="n">
        <v>0.01</v>
      </c>
      <c r="J688" t="inlineStr">
        <is>
          <t>[0.01, 0.03, 0.1, 0.3, 1, 3, 10, 30, 100]</t>
        </is>
      </c>
      <c r="K688" t="inlineStr">
        <is>
          <t>clasen_m15</t>
        </is>
      </c>
      <c r="L688" t="inlineStr">
        <is>
          <t>julia/experiments/tnwpaper/outputs/exptl_comparison</t>
        </is>
      </c>
      <c r="M688" t="inlineStr">
        <is>
          <t>ABANDONED: Sample-E M^-1.5 (use clasen_e_km)</t>
        </is>
      </c>
    </row>
    <row r="689">
      <c r="A689" t="b">
        <v>0</v>
      </c>
      <c r="B689" t="n">
        <v>688</v>
      </c>
      <c r="C689" t="inlineStr">
        <is>
          <t>E2</t>
        </is>
      </c>
      <c r="D689" t="inlineStr">
        <is>
          <t>caber</t>
        </is>
      </c>
      <c r="E689" t="n">
        <v>11186</v>
      </c>
      <c r="F689" t="n">
        <v>0.03</v>
      </c>
      <c r="G689" t="inlineStr">
        <is>
          <t>fenepm</t>
        </is>
      </c>
      <c r="H689" t="inlineStr">
        <is>
          <t>c2d2</t>
        </is>
      </c>
      <c r="I689" t="n">
        <v>0.01</v>
      </c>
      <c r="J689" t="inlineStr">
        <is>
          <t>[0.01, 0.03, 0.1, 0.3, 1, 3, 10, 30, 100]</t>
        </is>
      </c>
      <c r="K689" t="inlineStr">
        <is>
          <t>clasen_m15</t>
        </is>
      </c>
      <c r="L689" t="inlineStr">
        <is>
          <t>julia/experiments/tnwpaper/outputs/exptl_comparison</t>
        </is>
      </c>
      <c r="M689" t="inlineStr">
        <is>
          <t>ABANDONED: Sample-E M^-1.5 (use clasen_e_km)</t>
        </is>
      </c>
    </row>
    <row r="690">
      <c r="A690" t="b">
        <v>0</v>
      </c>
      <c r="B690" t="n">
        <v>689</v>
      </c>
      <c r="C690" t="inlineStr">
        <is>
          <t>E3</t>
        </is>
      </c>
      <c r="D690" t="inlineStr">
        <is>
          <t>styext</t>
        </is>
      </c>
      <c r="E690" t="n">
        <v>11186</v>
      </c>
      <c r="F690" t="n">
        <v>0.03</v>
      </c>
      <c r="G690" t="inlineStr">
        <is>
          <t>fenepm</t>
        </is>
      </c>
      <c r="H690" t="inlineStr">
        <is>
          <t>constant</t>
        </is>
      </c>
      <c r="I690" t="n">
        <v>0.0316</v>
      </c>
      <c r="J690" t="n">
        <v>1</v>
      </c>
      <c r="K690" t="inlineStr">
        <is>
          <t>clasen_m15</t>
        </is>
      </c>
      <c r="L690" t="inlineStr">
        <is>
          <t>julia/experiments/tnwpaper/outputs/exptl_comparison</t>
        </is>
      </c>
      <c r="M690" t="inlineStr">
        <is>
          <t>ABANDONED: Sample-E M^-1.5 (use clasen_e_km)</t>
        </is>
      </c>
    </row>
    <row r="691">
      <c r="A691" t="b">
        <v>0</v>
      </c>
      <c r="B691" t="n">
        <v>690</v>
      </c>
      <c r="C691" t="inlineStr">
        <is>
          <t>E3</t>
        </is>
      </c>
      <c r="D691" t="inlineStr">
        <is>
          <t>styext</t>
        </is>
      </c>
      <c r="E691" t="n">
        <v>11186</v>
      </c>
      <c r="F691" t="n">
        <v>0.03</v>
      </c>
      <c r="G691" t="inlineStr">
        <is>
          <t>fenepm</t>
        </is>
      </c>
      <c r="H691" t="inlineStr">
        <is>
          <t>c2d2</t>
        </is>
      </c>
      <c r="I691" t="n">
        <v>0.0316</v>
      </c>
      <c r="J691" t="n">
        <v>1</v>
      </c>
      <c r="K691" t="inlineStr">
        <is>
          <t>clasen_m15</t>
        </is>
      </c>
      <c r="L691" t="inlineStr">
        <is>
          <t>julia/experiments/tnwpaper/outputs/exptl_comparison</t>
        </is>
      </c>
      <c r="M691" t="inlineStr">
        <is>
          <t>ABANDONED: Sample-E M^-1.5 (use clasen_e_km)</t>
        </is>
      </c>
    </row>
    <row r="692">
      <c r="A692" t="b">
        <v>0</v>
      </c>
      <c r="B692" t="n">
        <v>691</v>
      </c>
      <c r="C692" t="inlineStr">
        <is>
          <t>E3</t>
        </is>
      </c>
      <c r="D692" t="inlineStr">
        <is>
          <t>caber</t>
        </is>
      </c>
      <c r="E692" t="n">
        <v>11186</v>
      </c>
      <c r="F692" t="n">
        <v>0.03</v>
      </c>
      <c r="G692" t="inlineStr">
        <is>
          <t>fenepm</t>
        </is>
      </c>
      <c r="H692" t="inlineStr">
        <is>
          <t>constant</t>
        </is>
      </c>
      <c r="I692" t="n">
        <v>0.0316</v>
      </c>
      <c r="J692" t="inlineStr">
        <is>
          <t>[0.01, 0.03, 0.1, 0.3, 1, 3, 10, 30, 100]</t>
        </is>
      </c>
      <c r="K692" t="inlineStr">
        <is>
          <t>clasen_m15</t>
        </is>
      </c>
      <c r="L692" t="inlineStr">
        <is>
          <t>julia/experiments/tnwpaper/outputs/exptl_comparison</t>
        </is>
      </c>
      <c r="M692" t="inlineStr">
        <is>
          <t>ABANDONED: Sample-E M^-1.5 (use clasen_e_km)</t>
        </is>
      </c>
    </row>
    <row r="693">
      <c r="A693" t="b">
        <v>0</v>
      </c>
      <c r="B693" t="n">
        <v>692</v>
      </c>
      <c r="C693" t="inlineStr">
        <is>
          <t>E3</t>
        </is>
      </c>
      <c r="D693" t="inlineStr">
        <is>
          <t>caber</t>
        </is>
      </c>
      <c r="E693" t="n">
        <v>11186</v>
      </c>
      <c r="F693" t="n">
        <v>0.03</v>
      </c>
      <c r="G693" t="inlineStr">
        <is>
          <t>fenepm</t>
        </is>
      </c>
      <c r="H693" t="inlineStr">
        <is>
          <t>c2d2</t>
        </is>
      </c>
      <c r="I693" t="n">
        <v>0.0316</v>
      </c>
      <c r="J693" t="inlineStr">
        <is>
          <t>[0.01, 0.03, 0.1, 0.3, 1, 3, 10, 30, 100]</t>
        </is>
      </c>
      <c r="K693" t="inlineStr">
        <is>
          <t>clasen_m15</t>
        </is>
      </c>
      <c r="L693" t="inlineStr">
        <is>
          <t>julia/experiments/tnwpaper/outputs/exptl_comparison</t>
        </is>
      </c>
      <c r="M693" t="inlineStr">
        <is>
          <t>ABANDONED: Sample-E M^-1.5 (use clasen_e_km)</t>
        </is>
      </c>
    </row>
    <row r="694">
      <c r="A694" t="b">
        <v>0</v>
      </c>
      <c r="B694" t="n">
        <v>693</v>
      </c>
      <c r="C694" t="inlineStr">
        <is>
          <t>E4</t>
        </is>
      </c>
      <c r="D694" t="inlineStr">
        <is>
          <t>styext</t>
        </is>
      </c>
      <c r="E694" t="n">
        <v>11186</v>
      </c>
      <c r="F694" t="n">
        <v>0.03</v>
      </c>
      <c r="G694" t="inlineStr">
        <is>
          <t>fenepm</t>
        </is>
      </c>
      <c r="H694" t="inlineStr">
        <is>
          <t>constant</t>
        </is>
      </c>
      <c r="I694" t="n">
        <v>0.1</v>
      </c>
      <c r="J694" t="n">
        <v>1</v>
      </c>
      <c r="K694" t="inlineStr">
        <is>
          <t>clasen_m15</t>
        </is>
      </c>
      <c r="L694" t="inlineStr">
        <is>
          <t>julia/experiments/tnwpaper/outputs/exptl_comparison</t>
        </is>
      </c>
      <c r="M694" t="inlineStr">
        <is>
          <t>ABANDONED: Sample-E M^-1.5 (use clasen_e_km)</t>
        </is>
      </c>
    </row>
    <row r="695">
      <c r="A695" t="b">
        <v>0</v>
      </c>
      <c r="B695" t="n">
        <v>694</v>
      </c>
      <c r="C695" t="inlineStr">
        <is>
          <t>E4</t>
        </is>
      </c>
      <c r="D695" t="inlineStr">
        <is>
          <t>styext</t>
        </is>
      </c>
      <c r="E695" t="n">
        <v>11186</v>
      </c>
      <c r="F695" t="n">
        <v>0.03</v>
      </c>
      <c r="G695" t="inlineStr">
        <is>
          <t>fenepm</t>
        </is>
      </c>
      <c r="H695" t="inlineStr">
        <is>
          <t>c2d2</t>
        </is>
      </c>
      <c r="I695" t="n">
        <v>0.1</v>
      </c>
      <c r="J695" t="n">
        <v>1</v>
      </c>
      <c r="K695" t="inlineStr">
        <is>
          <t>clasen_m15</t>
        </is>
      </c>
      <c r="L695" t="inlineStr">
        <is>
          <t>julia/experiments/tnwpaper/outputs/exptl_comparison</t>
        </is>
      </c>
      <c r="M695" t="inlineStr">
        <is>
          <t>ABANDONED: Sample-E M^-1.5 (use clasen_e_km)</t>
        </is>
      </c>
    </row>
    <row r="696">
      <c r="A696" t="b">
        <v>0</v>
      </c>
      <c r="B696" t="n">
        <v>695</v>
      </c>
      <c r="C696" t="inlineStr">
        <is>
          <t>E4</t>
        </is>
      </c>
      <c r="D696" t="inlineStr">
        <is>
          <t>caber</t>
        </is>
      </c>
      <c r="E696" t="n">
        <v>11186</v>
      </c>
      <c r="F696" t="n">
        <v>0.03</v>
      </c>
      <c r="G696" t="inlineStr">
        <is>
          <t>fenepm</t>
        </is>
      </c>
      <c r="H696" t="inlineStr">
        <is>
          <t>constant</t>
        </is>
      </c>
      <c r="I696" t="n">
        <v>0.1</v>
      </c>
      <c r="J696" t="inlineStr">
        <is>
          <t>[0.01, 0.03, 0.1, 0.3, 1, 3, 10, 30, 100]</t>
        </is>
      </c>
      <c r="K696" t="inlineStr">
        <is>
          <t>clasen_m15</t>
        </is>
      </c>
      <c r="L696" t="inlineStr">
        <is>
          <t>julia/experiments/tnwpaper/outputs/exptl_comparison</t>
        </is>
      </c>
      <c r="M696" t="inlineStr">
        <is>
          <t>ABANDONED: Sample-E M^-1.5 (use clasen_e_km)</t>
        </is>
      </c>
    </row>
    <row r="697">
      <c r="A697" t="b">
        <v>0</v>
      </c>
      <c r="B697" t="n">
        <v>696</v>
      </c>
      <c r="C697" t="inlineStr">
        <is>
          <t>E4</t>
        </is>
      </c>
      <c r="D697" t="inlineStr">
        <is>
          <t>caber</t>
        </is>
      </c>
      <c r="E697" t="n">
        <v>11186</v>
      </c>
      <c r="F697" t="n">
        <v>0.03</v>
      </c>
      <c r="G697" t="inlineStr">
        <is>
          <t>fenepm</t>
        </is>
      </c>
      <c r="H697" t="inlineStr">
        <is>
          <t>c2d2</t>
        </is>
      </c>
      <c r="I697" t="n">
        <v>0.1</v>
      </c>
      <c r="J697" t="inlineStr">
        <is>
          <t>[0.01, 0.03, 0.1, 0.3, 1, 3, 10, 30, 100]</t>
        </is>
      </c>
      <c r="K697" t="inlineStr">
        <is>
          <t>clasen_m15</t>
        </is>
      </c>
      <c r="L697" t="inlineStr">
        <is>
          <t>julia/experiments/tnwpaper/outputs/exptl_comparison</t>
        </is>
      </c>
      <c r="M697" t="inlineStr">
        <is>
          <t>ABANDONED: Sample-E M^-1.5 (use clasen_e_km)</t>
        </is>
      </c>
    </row>
    <row r="698">
      <c r="A698" t="b">
        <v>0</v>
      </c>
      <c r="B698" t="n">
        <v>697</v>
      </c>
      <c r="C698" t="inlineStr">
        <is>
          <t>E5</t>
        </is>
      </c>
      <c r="D698" t="inlineStr">
        <is>
          <t>styext</t>
        </is>
      </c>
      <c r="E698" t="n">
        <v>11186</v>
      </c>
      <c r="F698" t="n">
        <v>0.03</v>
      </c>
      <c r="G698" t="inlineStr">
        <is>
          <t>fenepm</t>
        </is>
      </c>
      <c r="H698" t="inlineStr">
        <is>
          <t>constant</t>
        </is>
      </c>
      <c r="I698" t="n">
        <v>0.316</v>
      </c>
      <c r="J698" t="n">
        <v>1</v>
      </c>
      <c r="K698" t="inlineStr">
        <is>
          <t>clasen_m15</t>
        </is>
      </c>
      <c r="L698" t="inlineStr">
        <is>
          <t>julia/experiments/tnwpaper/outputs/exptl_comparison</t>
        </is>
      </c>
      <c r="M698" t="inlineStr">
        <is>
          <t>ABANDONED: Sample-E M^-1.5 (use clasen_e_km)</t>
        </is>
      </c>
    </row>
    <row r="699">
      <c r="A699" t="b">
        <v>0</v>
      </c>
      <c r="B699" t="n">
        <v>698</v>
      </c>
      <c r="C699" t="inlineStr">
        <is>
          <t>E5</t>
        </is>
      </c>
      <c r="D699" t="inlineStr">
        <is>
          <t>styext</t>
        </is>
      </c>
      <c r="E699" t="n">
        <v>11186</v>
      </c>
      <c r="F699" t="n">
        <v>0.03</v>
      </c>
      <c r="G699" t="inlineStr">
        <is>
          <t>fenepm</t>
        </is>
      </c>
      <c r="H699" t="inlineStr">
        <is>
          <t>c2d2</t>
        </is>
      </c>
      <c r="I699" t="n">
        <v>0.316</v>
      </c>
      <c r="J699" t="n">
        <v>1</v>
      </c>
      <c r="K699" t="inlineStr">
        <is>
          <t>clasen_m15</t>
        </is>
      </c>
      <c r="L699" t="inlineStr">
        <is>
          <t>julia/experiments/tnwpaper/outputs/exptl_comparison</t>
        </is>
      </c>
      <c r="M699" t="inlineStr">
        <is>
          <t>ABANDONED: Sample-E M^-1.5 (use clasen_e_km)</t>
        </is>
      </c>
    </row>
    <row r="700">
      <c r="A700" t="b">
        <v>0</v>
      </c>
      <c r="B700" t="n">
        <v>699</v>
      </c>
      <c r="C700" t="inlineStr">
        <is>
          <t>E5</t>
        </is>
      </c>
      <c r="D700" t="inlineStr">
        <is>
          <t>caber</t>
        </is>
      </c>
      <c r="E700" t="n">
        <v>11186</v>
      </c>
      <c r="F700" t="n">
        <v>0.03</v>
      </c>
      <c r="G700" t="inlineStr">
        <is>
          <t>fenepm</t>
        </is>
      </c>
      <c r="H700" t="inlineStr">
        <is>
          <t>constant</t>
        </is>
      </c>
      <c r="I700" t="n">
        <v>0.316</v>
      </c>
      <c r="J700" t="inlineStr">
        <is>
          <t>[0.01, 0.03, 0.1, 0.3, 1, 3, 10, 30, 100]</t>
        </is>
      </c>
      <c r="K700" t="inlineStr">
        <is>
          <t>clasen_m15</t>
        </is>
      </c>
      <c r="L700" t="inlineStr">
        <is>
          <t>julia/experiments/tnwpaper/outputs/exptl_comparison</t>
        </is>
      </c>
      <c r="M700" t="inlineStr">
        <is>
          <t>ABANDONED: Sample-E M^-1.5 (use clasen_e_km)</t>
        </is>
      </c>
    </row>
    <row r="701">
      <c r="A701" t="b">
        <v>0</v>
      </c>
      <c r="B701" t="n">
        <v>700</v>
      </c>
      <c r="C701" t="inlineStr">
        <is>
          <t>E5</t>
        </is>
      </c>
      <c r="D701" t="inlineStr">
        <is>
          <t>caber</t>
        </is>
      </c>
      <c r="E701" t="n">
        <v>11186</v>
      </c>
      <c r="F701" t="n">
        <v>0.03</v>
      </c>
      <c r="G701" t="inlineStr">
        <is>
          <t>fenepm</t>
        </is>
      </c>
      <c r="H701" t="inlineStr">
        <is>
          <t>c2d2</t>
        </is>
      </c>
      <c r="I701" t="n">
        <v>0.316</v>
      </c>
      <c r="J701" t="inlineStr">
        <is>
          <t>[0.01, 0.03, 0.1, 0.3, 1, 3, 10, 30, 100]</t>
        </is>
      </c>
      <c r="K701" t="inlineStr">
        <is>
          <t>clasen_m15</t>
        </is>
      </c>
      <c r="L701" t="inlineStr">
        <is>
          <t>julia/experiments/tnwpaper/outputs/exptl_comparison</t>
        </is>
      </c>
      <c r="M701" t="inlineStr">
        <is>
          <t>ABANDONED: Sample-E M^-1.5 (use clasen_e_km)</t>
        </is>
      </c>
    </row>
    <row r="702">
      <c r="A702" t="b">
        <v>0</v>
      </c>
      <c r="B702" t="n">
        <v>701</v>
      </c>
      <c r="C702" t="inlineStr">
        <is>
          <t>E6</t>
        </is>
      </c>
      <c r="D702" t="inlineStr">
        <is>
          <t>styext</t>
        </is>
      </c>
      <c r="E702" t="n">
        <v>11186</v>
      </c>
      <c r="F702" t="n">
        <v>0.03</v>
      </c>
      <c r="G702" t="inlineStr">
        <is>
          <t>fenepm</t>
        </is>
      </c>
      <c r="H702" t="inlineStr">
        <is>
          <t>constant</t>
        </is>
      </c>
      <c r="I702" t="n">
        <v>1</v>
      </c>
      <c r="J702" t="n">
        <v>1</v>
      </c>
      <c r="K702" t="inlineStr">
        <is>
          <t>clasen_m15</t>
        </is>
      </c>
      <c r="L702" t="inlineStr">
        <is>
          <t>julia/experiments/tnwpaper/outputs/exptl_comparison</t>
        </is>
      </c>
      <c r="M702" t="inlineStr">
        <is>
          <t>ABANDONED: Sample-E M^-1.5 (use clasen_e_km)</t>
        </is>
      </c>
    </row>
    <row r="703">
      <c r="A703" t="b">
        <v>0</v>
      </c>
      <c r="B703" t="n">
        <v>702</v>
      </c>
      <c r="C703" t="inlineStr">
        <is>
          <t>E6</t>
        </is>
      </c>
      <c r="D703" t="inlineStr">
        <is>
          <t>styext</t>
        </is>
      </c>
      <c r="E703" t="n">
        <v>11186</v>
      </c>
      <c r="F703" t="n">
        <v>0.03</v>
      </c>
      <c r="G703" t="inlineStr">
        <is>
          <t>fenepm</t>
        </is>
      </c>
      <c r="H703" t="inlineStr">
        <is>
          <t>c2d2</t>
        </is>
      </c>
      <c r="I703" t="n">
        <v>1</v>
      </c>
      <c r="J703" t="n">
        <v>1</v>
      </c>
      <c r="K703" t="inlineStr">
        <is>
          <t>clasen_m15</t>
        </is>
      </c>
      <c r="L703" t="inlineStr">
        <is>
          <t>julia/experiments/tnwpaper/outputs/exptl_comparison</t>
        </is>
      </c>
      <c r="M703" t="inlineStr">
        <is>
          <t>ABANDONED: Sample-E M^-1.5 (use clasen_e_km)</t>
        </is>
      </c>
    </row>
    <row r="704">
      <c r="A704" t="b">
        <v>0</v>
      </c>
      <c r="B704" t="n">
        <v>703</v>
      </c>
      <c r="C704" t="inlineStr">
        <is>
          <t>E6</t>
        </is>
      </c>
      <c r="D704" t="inlineStr">
        <is>
          <t>caber</t>
        </is>
      </c>
      <c r="E704" t="n">
        <v>11186</v>
      </c>
      <c r="F704" t="n">
        <v>0.03</v>
      </c>
      <c r="G704" t="inlineStr">
        <is>
          <t>fenepm</t>
        </is>
      </c>
      <c r="H704" t="inlineStr">
        <is>
          <t>constant</t>
        </is>
      </c>
      <c r="I704" t="n">
        <v>1</v>
      </c>
      <c r="J704" t="inlineStr">
        <is>
          <t>[0.01, 0.03, 0.1, 0.3, 1, 3, 10, 30, 100]</t>
        </is>
      </c>
      <c r="K704" t="inlineStr">
        <is>
          <t>clasen_m15</t>
        </is>
      </c>
      <c r="L704" t="inlineStr">
        <is>
          <t>julia/experiments/tnwpaper/outputs/exptl_comparison</t>
        </is>
      </c>
      <c r="M704" t="inlineStr">
        <is>
          <t>ABANDONED: Sample-E M^-1.5 (use clasen_e_km)</t>
        </is>
      </c>
    </row>
    <row r="705">
      <c r="A705" t="b">
        <v>0</v>
      </c>
      <c r="B705" t="n">
        <v>704</v>
      </c>
      <c r="C705" t="inlineStr">
        <is>
          <t>E6</t>
        </is>
      </c>
      <c r="D705" t="inlineStr">
        <is>
          <t>caber</t>
        </is>
      </c>
      <c r="E705" t="n">
        <v>11186</v>
      </c>
      <c r="F705" t="n">
        <v>0.03</v>
      </c>
      <c r="G705" t="inlineStr">
        <is>
          <t>fenepm</t>
        </is>
      </c>
      <c r="H705" t="inlineStr">
        <is>
          <t>c2d2</t>
        </is>
      </c>
      <c r="I705" t="n">
        <v>1</v>
      </c>
      <c r="J705" t="inlineStr">
        <is>
          <t>[0.01, 0.03, 0.1, 0.3, 1, 3, 10, 30, 100]</t>
        </is>
      </c>
      <c r="K705" t="inlineStr">
        <is>
          <t>clasen_m15</t>
        </is>
      </c>
      <c r="L705" t="inlineStr">
        <is>
          <t>julia/experiments/tnwpaper/outputs/exptl_comparison</t>
        </is>
      </c>
      <c r="M705" t="inlineStr">
        <is>
          <t>ABANDONED: Sample-E M^-1.5 (use clasen_e_km)</t>
        </is>
      </c>
    </row>
    <row r="706">
      <c r="A706" t="b">
        <v>0</v>
      </c>
      <c r="B706" t="n">
        <v>705</v>
      </c>
      <c r="C706" t="inlineStr">
        <is>
          <t>E1</t>
        </is>
      </c>
      <c r="D706" t="inlineStr">
        <is>
          <t>styext</t>
        </is>
      </c>
      <c r="E706" t="n">
        <v>11186</v>
      </c>
      <c r="F706" t="n">
        <v>0.04</v>
      </c>
      <c r="G706" t="inlineStr">
        <is>
          <t>fenepm</t>
        </is>
      </c>
      <c r="H706" t="inlineStr">
        <is>
          <t>constant</t>
        </is>
      </c>
      <c r="I706" t="n">
        <v>0.007900000000000001</v>
      </c>
      <c r="J706" t="n">
        <v>1</v>
      </c>
      <c r="K706" t="inlineStr">
        <is>
          <t>clasen_m15</t>
        </is>
      </c>
      <c r="L706" t="inlineStr">
        <is>
          <t>julia/experiments/tnwpaper/outputs/exptl_comparison</t>
        </is>
      </c>
      <c r="M706" t="inlineStr">
        <is>
          <t>ABANDONED: Sample-E M^-1.5</t>
        </is>
      </c>
    </row>
    <row r="707">
      <c r="A707" t="b">
        <v>0</v>
      </c>
      <c r="B707" t="n">
        <v>706</v>
      </c>
      <c r="C707" t="inlineStr">
        <is>
          <t>E1</t>
        </is>
      </c>
      <c r="D707" t="inlineStr">
        <is>
          <t>styext</t>
        </is>
      </c>
      <c r="E707" t="n">
        <v>11186</v>
      </c>
      <c r="F707" t="n">
        <v>0.04</v>
      </c>
      <c r="G707" t="inlineStr">
        <is>
          <t>fenepm</t>
        </is>
      </c>
      <c r="H707" t="inlineStr">
        <is>
          <t>c2d2</t>
        </is>
      </c>
      <c r="I707" t="n">
        <v>0.007900000000000001</v>
      </c>
      <c r="J707" t="n">
        <v>1</v>
      </c>
      <c r="K707" t="inlineStr">
        <is>
          <t>clasen_m15</t>
        </is>
      </c>
      <c r="L707" t="inlineStr">
        <is>
          <t>julia/experiments/tnwpaper/outputs/exptl_comparison</t>
        </is>
      </c>
      <c r="M707" t="inlineStr">
        <is>
          <t>ABANDONED: Sample-E M^-1.5</t>
        </is>
      </c>
    </row>
    <row r="708">
      <c r="A708" t="b">
        <v>0</v>
      </c>
      <c r="B708" t="n">
        <v>707</v>
      </c>
      <c r="C708" t="inlineStr">
        <is>
          <t>E1</t>
        </is>
      </c>
      <c r="D708" t="inlineStr">
        <is>
          <t>caber</t>
        </is>
      </c>
      <c r="E708" t="n">
        <v>11186</v>
      </c>
      <c r="F708" t="n">
        <v>0.04</v>
      </c>
      <c r="G708" t="inlineStr">
        <is>
          <t>fenepm</t>
        </is>
      </c>
      <c r="H708" t="inlineStr">
        <is>
          <t>constant</t>
        </is>
      </c>
      <c r="I708" t="n">
        <v>0.007900000000000001</v>
      </c>
      <c r="J708" t="inlineStr">
        <is>
          <t>[0.01, 0.03, 0.1, 0.3, 1, 3, 10, 30, 100]</t>
        </is>
      </c>
      <c r="K708" t="inlineStr">
        <is>
          <t>clasen_m15</t>
        </is>
      </c>
      <c r="L708" t="inlineStr">
        <is>
          <t>julia/experiments/tnwpaper/outputs/exptl_comparison</t>
        </is>
      </c>
      <c r="M708" t="inlineStr">
        <is>
          <t>ABANDONED: Sample-E M^-1.5</t>
        </is>
      </c>
    </row>
    <row r="709">
      <c r="A709" t="b">
        <v>0</v>
      </c>
      <c r="B709" t="n">
        <v>708</v>
      </c>
      <c r="C709" t="inlineStr">
        <is>
          <t>E1</t>
        </is>
      </c>
      <c r="D709" t="inlineStr">
        <is>
          <t>caber</t>
        </is>
      </c>
      <c r="E709" t="n">
        <v>11186</v>
      </c>
      <c r="F709" t="n">
        <v>0.04</v>
      </c>
      <c r="G709" t="inlineStr">
        <is>
          <t>fenepm</t>
        </is>
      </c>
      <c r="H709" t="inlineStr">
        <is>
          <t>c2d2</t>
        </is>
      </c>
      <c r="I709" t="n">
        <v>0.007900000000000001</v>
      </c>
      <c r="J709" t="inlineStr">
        <is>
          <t>[0.01, 0.03, 0.1, 0.3, 1, 3, 10, 30, 100]</t>
        </is>
      </c>
      <c r="K709" t="inlineStr">
        <is>
          <t>clasen_m15</t>
        </is>
      </c>
      <c r="L709" t="inlineStr">
        <is>
          <t>julia/experiments/tnwpaper/outputs/exptl_comparison</t>
        </is>
      </c>
      <c r="M709" t="inlineStr">
        <is>
          <t>ABANDONED: Sample-E M^-1.5</t>
        </is>
      </c>
    </row>
    <row r="710">
      <c r="A710" t="b">
        <v>0</v>
      </c>
      <c r="B710" t="n">
        <v>709</v>
      </c>
      <c r="C710" t="inlineStr">
        <is>
          <t>E2</t>
        </is>
      </c>
      <c r="D710" t="inlineStr">
        <is>
          <t>styext</t>
        </is>
      </c>
      <c r="E710" t="n">
        <v>11186</v>
      </c>
      <c r="F710" t="n">
        <v>0.04</v>
      </c>
      <c r="G710" t="inlineStr">
        <is>
          <t>fenepm</t>
        </is>
      </c>
      <c r="H710" t="inlineStr">
        <is>
          <t>constant</t>
        </is>
      </c>
      <c r="I710" t="n">
        <v>0.01</v>
      </c>
      <c r="J710" t="n">
        <v>1</v>
      </c>
      <c r="K710" t="inlineStr">
        <is>
          <t>clasen_m15</t>
        </is>
      </c>
      <c r="L710" t="inlineStr">
        <is>
          <t>julia/experiments/tnwpaper/outputs/exptl_comparison</t>
        </is>
      </c>
      <c r="M710" t="inlineStr">
        <is>
          <t>ABANDONED: Sample-E M^-1.5</t>
        </is>
      </c>
    </row>
    <row r="711">
      <c r="A711" t="b">
        <v>0</v>
      </c>
      <c r="B711" t="n">
        <v>710</v>
      </c>
      <c r="C711" t="inlineStr">
        <is>
          <t>E2</t>
        </is>
      </c>
      <c r="D711" t="inlineStr">
        <is>
          <t>styext</t>
        </is>
      </c>
      <c r="E711" t="n">
        <v>11186</v>
      </c>
      <c r="F711" t="n">
        <v>0.04</v>
      </c>
      <c r="G711" t="inlineStr">
        <is>
          <t>fenepm</t>
        </is>
      </c>
      <c r="H711" t="inlineStr">
        <is>
          <t>c2d2</t>
        </is>
      </c>
      <c r="I711" t="n">
        <v>0.01</v>
      </c>
      <c r="J711" t="n">
        <v>1</v>
      </c>
      <c r="K711" t="inlineStr">
        <is>
          <t>clasen_m15</t>
        </is>
      </c>
      <c r="L711" t="inlineStr">
        <is>
          <t>julia/experiments/tnwpaper/outputs/exptl_comparison</t>
        </is>
      </c>
      <c r="M711" t="inlineStr">
        <is>
          <t>ABANDONED: Sample-E M^-1.5</t>
        </is>
      </c>
    </row>
    <row r="712">
      <c r="A712" t="b">
        <v>0</v>
      </c>
      <c r="B712" t="n">
        <v>711</v>
      </c>
      <c r="C712" t="inlineStr">
        <is>
          <t>E2</t>
        </is>
      </c>
      <c r="D712" t="inlineStr">
        <is>
          <t>caber</t>
        </is>
      </c>
      <c r="E712" t="n">
        <v>11186</v>
      </c>
      <c r="F712" t="n">
        <v>0.04</v>
      </c>
      <c r="G712" t="inlineStr">
        <is>
          <t>fenepm</t>
        </is>
      </c>
      <c r="H712" t="inlineStr">
        <is>
          <t>constant</t>
        </is>
      </c>
      <c r="I712" t="n">
        <v>0.01</v>
      </c>
      <c r="J712" t="inlineStr">
        <is>
          <t>[0.01, 0.03, 0.1, 0.3, 1, 3, 10, 30, 100]</t>
        </is>
      </c>
      <c r="K712" t="inlineStr">
        <is>
          <t>clasen_m15</t>
        </is>
      </c>
      <c r="L712" t="inlineStr">
        <is>
          <t>julia/experiments/tnwpaper/outputs/exptl_comparison</t>
        </is>
      </c>
      <c r="M712" t="inlineStr">
        <is>
          <t>ABANDONED: Sample-E M^-1.5</t>
        </is>
      </c>
    </row>
    <row r="713">
      <c r="A713" t="b">
        <v>0</v>
      </c>
      <c r="B713" t="n">
        <v>712</v>
      </c>
      <c r="C713" t="inlineStr">
        <is>
          <t>E2</t>
        </is>
      </c>
      <c r="D713" t="inlineStr">
        <is>
          <t>caber</t>
        </is>
      </c>
      <c r="E713" t="n">
        <v>11186</v>
      </c>
      <c r="F713" t="n">
        <v>0.04</v>
      </c>
      <c r="G713" t="inlineStr">
        <is>
          <t>fenepm</t>
        </is>
      </c>
      <c r="H713" t="inlineStr">
        <is>
          <t>c2d2</t>
        </is>
      </c>
      <c r="I713" t="n">
        <v>0.01</v>
      </c>
      <c r="J713" t="inlineStr">
        <is>
          <t>[0.01, 0.03, 0.1, 0.3, 1, 3, 10, 30, 100]</t>
        </is>
      </c>
      <c r="K713" t="inlineStr">
        <is>
          <t>clasen_m15</t>
        </is>
      </c>
      <c r="L713" t="inlineStr">
        <is>
          <t>julia/experiments/tnwpaper/outputs/exptl_comparison</t>
        </is>
      </c>
      <c r="M713" t="inlineStr">
        <is>
          <t>ABANDONED: Sample-E M^-1.5</t>
        </is>
      </c>
    </row>
    <row r="714">
      <c r="A714" t="b">
        <v>0</v>
      </c>
      <c r="B714" t="n">
        <v>713</v>
      </c>
      <c r="C714" t="inlineStr">
        <is>
          <t>E3</t>
        </is>
      </c>
      <c r="D714" t="inlineStr">
        <is>
          <t>styext</t>
        </is>
      </c>
      <c r="E714" t="n">
        <v>11186</v>
      </c>
      <c r="F714" t="n">
        <v>0.04</v>
      </c>
      <c r="G714" t="inlineStr">
        <is>
          <t>fenepm</t>
        </is>
      </c>
      <c r="H714" t="inlineStr">
        <is>
          <t>constant</t>
        </is>
      </c>
      <c r="I714" t="n">
        <v>0.0316</v>
      </c>
      <c r="J714" t="n">
        <v>1</v>
      </c>
      <c r="K714" t="inlineStr">
        <is>
          <t>clasen_m15</t>
        </is>
      </c>
      <c r="L714" t="inlineStr">
        <is>
          <t>julia/experiments/tnwpaper/outputs/exptl_comparison</t>
        </is>
      </c>
      <c r="M714" t="inlineStr">
        <is>
          <t>ABANDONED: Sample-E M^-1.5</t>
        </is>
      </c>
    </row>
    <row r="715">
      <c r="A715" t="b">
        <v>0</v>
      </c>
      <c r="B715" t="n">
        <v>714</v>
      </c>
      <c r="C715" t="inlineStr">
        <is>
          <t>E3</t>
        </is>
      </c>
      <c r="D715" t="inlineStr">
        <is>
          <t>styext</t>
        </is>
      </c>
      <c r="E715" t="n">
        <v>11186</v>
      </c>
      <c r="F715" t="n">
        <v>0.04</v>
      </c>
      <c r="G715" t="inlineStr">
        <is>
          <t>fenepm</t>
        </is>
      </c>
      <c r="H715" t="inlineStr">
        <is>
          <t>c2d2</t>
        </is>
      </c>
      <c r="I715" t="n">
        <v>0.0316</v>
      </c>
      <c r="J715" t="n">
        <v>1</v>
      </c>
      <c r="K715" t="inlineStr">
        <is>
          <t>clasen_m15</t>
        </is>
      </c>
      <c r="L715" t="inlineStr">
        <is>
          <t>julia/experiments/tnwpaper/outputs/exptl_comparison</t>
        </is>
      </c>
      <c r="M715" t="inlineStr">
        <is>
          <t>ABANDONED: Sample-E M^-1.5</t>
        </is>
      </c>
    </row>
    <row r="716">
      <c r="A716" t="b">
        <v>0</v>
      </c>
      <c r="B716" t="n">
        <v>715</v>
      </c>
      <c r="C716" t="inlineStr">
        <is>
          <t>E3</t>
        </is>
      </c>
      <c r="D716" t="inlineStr">
        <is>
          <t>caber</t>
        </is>
      </c>
      <c r="E716" t="n">
        <v>11186</v>
      </c>
      <c r="F716" t="n">
        <v>0.04</v>
      </c>
      <c r="G716" t="inlineStr">
        <is>
          <t>fenepm</t>
        </is>
      </c>
      <c r="H716" t="inlineStr">
        <is>
          <t>constant</t>
        </is>
      </c>
      <c r="I716" t="n">
        <v>0.0316</v>
      </c>
      <c r="J716" t="inlineStr">
        <is>
          <t>[0.01, 0.03, 0.1, 0.3, 1, 3, 10, 30, 100]</t>
        </is>
      </c>
      <c r="K716" t="inlineStr">
        <is>
          <t>clasen_m15</t>
        </is>
      </c>
      <c r="L716" t="inlineStr">
        <is>
          <t>julia/experiments/tnwpaper/outputs/exptl_comparison</t>
        </is>
      </c>
      <c r="M716" t="inlineStr">
        <is>
          <t>ABANDONED: Sample-E M^-1.5</t>
        </is>
      </c>
    </row>
    <row r="717">
      <c r="A717" t="b">
        <v>0</v>
      </c>
      <c r="B717" t="n">
        <v>716</v>
      </c>
      <c r="C717" t="inlineStr">
        <is>
          <t>E3</t>
        </is>
      </c>
      <c r="D717" t="inlineStr">
        <is>
          <t>caber</t>
        </is>
      </c>
      <c r="E717" t="n">
        <v>11186</v>
      </c>
      <c r="F717" t="n">
        <v>0.04</v>
      </c>
      <c r="G717" t="inlineStr">
        <is>
          <t>fenepm</t>
        </is>
      </c>
      <c r="H717" t="inlineStr">
        <is>
          <t>c2d2</t>
        </is>
      </c>
      <c r="I717" t="n">
        <v>0.0316</v>
      </c>
      <c r="J717" t="inlineStr">
        <is>
          <t>[0.01, 0.03, 0.1, 0.3, 1, 3, 10, 30, 100]</t>
        </is>
      </c>
      <c r="K717" t="inlineStr">
        <is>
          <t>clasen_m15</t>
        </is>
      </c>
      <c r="L717" t="inlineStr">
        <is>
          <t>julia/experiments/tnwpaper/outputs/exptl_comparison</t>
        </is>
      </c>
      <c r="M717" t="inlineStr">
        <is>
          <t>ABANDONED: Sample-E M^-1.5</t>
        </is>
      </c>
    </row>
    <row r="718">
      <c r="A718" t="b">
        <v>0</v>
      </c>
      <c r="B718" t="n">
        <v>717</v>
      </c>
      <c r="C718" t="inlineStr">
        <is>
          <t>E4</t>
        </is>
      </c>
      <c r="D718" t="inlineStr">
        <is>
          <t>styext</t>
        </is>
      </c>
      <c r="E718" t="n">
        <v>11186</v>
      </c>
      <c r="F718" t="n">
        <v>0.04</v>
      </c>
      <c r="G718" t="inlineStr">
        <is>
          <t>fenepm</t>
        </is>
      </c>
      <c r="H718" t="inlineStr">
        <is>
          <t>constant</t>
        </is>
      </c>
      <c r="I718" t="n">
        <v>0.1</v>
      </c>
      <c r="J718" t="n">
        <v>1</v>
      </c>
      <c r="K718" t="inlineStr">
        <is>
          <t>clasen_m15</t>
        </is>
      </c>
      <c r="L718" t="inlineStr">
        <is>
          <t>julia/experiments/tnwpaper/outputs/exptl_comparison</t>
        </is>
      </c>
      <c r="M718" t="inlineStr">
        <is>
          <t>ABANDONED: Sample-E M^-1.5</t>
        </is>
      </c>
    </row>
    <row r="719">
      <c r="A719" t="b">
        <v>0</v>
      </c>
      <c r="B719" t="n">
        <v>718</v>
      </c>
      <c r="C719" t="inlineStr">
        <is>
          <t>E4</t>
        </is>
      </c>
      <c r="D719" t="inlineStr">
        <is>
          <t>styext</t>
        </is>
      </c>
      <c r="E719" t="n">
        <v>11186</v>
      </c>
      <c r="F719" t="n">
        <v>0.04</v>
      </c>
      <c r="G719" t="inlineStr">
        <is>
          <t>fenepm</t>
        </is>
      </c>
      <c r="H719" t="inlineStr">
        <is>
          <t>c2d2</t>
        </is>
      </c>
      <c r="I719" t="n">
        <v>0.1</v>
      </c>
      <c r="J719" t="n">
        <v>1</v>
      </c>
      <c r="K719" t="inlineStr">
        <is>
          <t>clasen_m15</t>
        </is>
      </c>
      <c r="L719" t="inlineStr">
        <is>
          <t>julia/experiments/tnwpaper/outputs/exptl_comparison</t>
        </is>
      </c>
      <c r="M719" t="inlineStr">
        <is>
          <t>ABANDONED: Sample-E M^-1.5</t>
        </is>
      </c>
    </row>
    <row r="720">
      <c r="A720" t="b">
        <v>0</v>
      </c>
      <c r="B720" t="n">
        <v>719</v>
      </c>
      <c r="C720" t="inlineStr">
        <is>
          <t>E4</t>
        </is>
      </c>
      <c r="D720" t="inlineStr">
        <is>
          <t>caber</t>
        </is>
      </c>
      <c r="E720" t="n">
        <v>11186</v>
      </c>
      <c r="F720" t="n">
        <v>0.04</v>
      </c>
      <c r="G720" t="inlineStr">
        <is>
          <t>fenepm</t>
        </is>
      </c>
      <c r="H720" t="inlineStr">
        <is>
          <t>constant</t>
        </is>
      </c>
      <c r="I720" t="n">
        <v>0.1</v>
      </c>
      <c r="J720" t="inlineStr">
        <is>
          <t>[0.01, 0.03, 0.1, 0.3, 1, 3, 10, 30, 100]</t>
        </is>
      </c>
      <c r="K720" t="inlineStr">
        <is>
          <t>clasen_m15</t>
        </is>
      </c>
      <c r="L720" t="inlineStr">
        <is>
          <t>julia/experiments/tnwpaper/outputs/exptl_comparison</t>
        </is>
      </c>
      <c r="M720" t="inlineStr">
        <is>
          <t>ABANDONED: Sample-E M^-1.5</t>
        </is>
      </c>
    </row>
    <row r="721">
      <c r="A721" t="b">
        <v>0</v>
      </c>
      <c r="B721" t="n">
        <v>720</v>
      </c>
      <c r="C721" t="inlineStr">
        <is>
          <t>E4</t>
        </is>
      </c>
      <c r="D721" t="inlineStr">
        <is>
          <t>caber</t>
        </is>
      </c>
      <c r="E721" t="n">
        <v>11186</v>
      </c>
      <c r="F721" t="n">
        <v>0.04</v>
      </c>
      <c r="G721" t="inlineStr">
        <is>
          <t>fenepm</t>
        </is>
      </c>
      <c r="H721" t="inlineStr">
        <is>
          <t>c2d2</t>
        </is>
      </c>
      <c r="I721" t="n">
        <v>0.1</v>
      </c>
      <c r="J721" t="inlineStr">
        <is>
          <t>[0.01, 0.03, 0.1, 0.3, 1, 3, 10, 30, 100]</t>
        </is>
      </c>
      <c r="K721" t="inlineStr">
        <is>
          <t>clasen_m15</t>
        </is>
      </c>
      <c r="L721" t="inlineStr">
        <is>
          <t>julia/experiments/tnwpaper/outputs/exptl_comparison</t>
        </is>
      </c>
      <c r="M721" t="inlineStr">
        <is>
          <t>ABANDONED: Sample-E M^-1.5</t>
        </is>
      </c>
    </row>
    <row r="722">
      <c r="A722" t="b">
        <v>0</v>
      </c>
      <c r="B722" t="n">
        <v>721</v>
      </c>
      <c r="C722" t="inlineStr">
        <is>
          <t>E5</t>
        </is>
      </c>
      <c r="D722" t="inlineStr">
        <is>
          <t>styext</t>
        </is>
      </c>
      <c r="E722" t="n">
        <v>11186</v>
      </c>
      <c r="F722" t="n">
        <v>0.04</v>
      </c>
      <c r="G722" t="inlineStr">
        <is>
          <t>fenepm</t>
        </is>
      </c>
      <c r="H722" t="inlineStr">
        <is>
          <t>constant</t>
        </is>
      </c>
      <c r="I722" t="n">
        <v>0.316</v>
      </c>
      <c r="J722" t="n">
        <v>1</v>
      </c>
      <c r="K722" t="inlineStr">
        <is>
          <t>clasen_m15</t>
        </is>
      </c>
      <c r="L722" t="inlineStr">
        <is>
          <t>julia/experiments/tnwpaper/outputs/exptl_comparison</t>
        </is>
      </c>
      <c r="M722" t="inlineStr">
        <is>
          <t>ABANDONED: Sample-E M^-1.5</t>
        </is>
      </c>
    </row>
    <row r="723">
      <c r="A723" t="b">
        <v>0</v>
      </c>
      <c r="B723" t="n">
        <v>722</v>
      </c>
      <c r="C723" t="inlineStr">
        <is>
          <t>E5</t>
        </is>
      </c>
      <c r="D723" t="inlineStr">
        <is>
          <t>styext</t>
        </is>
      </c>
      <c r="E723" t="n">
        <v>11186</v>
      </c>
      <c r="F723" t="n">
        <v>0.04</v>
      </c>
      <c r="G723" t="inlineStr">
        <is>
          <t>fenepm</t>
        </is>
      </c>
      <c r="H723" t="inlineStr">
        <is>
          <t>c2d2</t>
        </is>
      </c>
      <c r="I723" t="n">
        <v>0.316</v>
      </c>
      <c r="J723" t="n">
        <v>1</v>
      </c>
      <c r="K723" t="inlineStr">
        <is>
          <t>clasen_m15</t>
        </is>
      </c>
      <c r="L723" t="inlineStr">
        <is>
          <t>julia/experiments/tnwpaper/outputs/exptl_comparison</t>
        </is>
      </c>
      <c r="M723" t="inlineStr">
        <is>
          <t>ABANDONED: Sample-E M^-1.5</t>
        </is>
      </c>
    </row>
    <row r="724">
      <c r="A724" t="b">
        <v>0</v>
      </c>
      <c r="B724" t="n">
        <v>723</v>
      </c>
      <c r="C724" t="inlineStr">
        <is>
          <t>E5</t>
        </is>
      </c>
      <c r="D724" t="inlineStr">
        <is>
          <t>caber</t>
        </is>
      </c>
      <c r="E724" t="n">
        <v>11186</v>
      </c>
      <c r="F724" t="n">
        <v>0.04</v>
      </c>
      <c r="G724" t="inlineStr">
        <is>
          <t>fenepm</t>
        </is>
      </c>
      <c r="H724" t="inlineStr">
        <is>
          <t>constant</t>
        </is>
      </c>
      <c r="I724" t="n">
        <v>0.316</v>
      </c>
      <c r="J724" t="inlineStr">
        <is>
          <t>[0.01, 0.03, 0.1, 0.3, 1, 3, 10, 30, 100]</t>
        </is>
      </c>
      <c r="K724" t="inlineStr">
        <is>
          <t>clasen_m15</t>
        </is>
      </c>
      <c r="L724" t="inlineStr">
        <is>
          <t>julia/experiments/tnwpaper/outputs/exptl_comparison</t>
        </is>
      </c>
      <c r="M724" t="inlineStr">
        <is>
          <t>ABANDONED: Sample-E M^-1.5</t>
        </is>
      </c>
    </row>
    <row r="725">
      <c r="A725" t="b">
        <v>0</v>
      </c>
      <c r="B725" t="n">
        <v>724</v>
      </c>
      <c r="C725" t="inlineStr">
        <is>
          <t>E5</t>
        </is>
      </c>
      <c r="D725" t="inlineStr">
        <is>
          <t>caber</t>
        </is>
      </c>
      <c r="E725" t="n">
        <v>11186</v>
      </c>
      <c r="F725" t="n">
        <v>0.04</v>
      </c>
      <c r="G725" t="inlineStr">
        <is>
          <t>fenepm</t>
        </is>
      </c>
      <c r="H725" t="inlineStr">
        <is>
          <t>c2d2</t>
        </is>
      </c>
      <c r="I725" t="n">
        <v>0.316</v>
      </c>
      <c r="J725" t="inlineStr">
        <is>
          <t>[0.01, 0.03, 0.1, 0.3, 1, 3, 10, 30, 100]</t>
        </is>
      </c>
      <c r="K725" t="inlineStr">
        <is>
          <t>clasen_m15</t>
        </is>
      </c>
      <c r="L725" t="inlineStr">
        <is>
          <t>julia/experiments/tnwpaper/outputs/exptl_comparison</t>
        </is>
      </c>
      <c r="M725" t="inlineStr">
        <is>
          <t>ABANDONED: Sample-E M^-1.5</t>
        </is>
      </c>
    </row>
    <row r="726">
      <c r="A726" t="b">
        <v>0</v>
      </c>
      <c r="B726" t="n">
        <v>725</v>
      </c>
      <c r="C726" t="inlineStr">
        <is>
          <t>E6</t>
        </is>
      </c>
      <c r="D726" t="inlineStr">
        <is>
          <t>styext</t>
        </is>
      </c>
      <c r="E726" t="n">
        <v>11186</v>
      </c>
      <c r="F726" t="n">
        <v>0.04</v>
      </c>
      <c r="G726" t="inlineStr">
        <is>
          <t>fenepm</t>
        </is>
      </c>
      <c r="H726" t="inlineStr">
        <is>
          <t>constant</t>
        </is>
      </c>
      <c r="I726" t="n">
        <v>1</v>
      </c>
      <c r="J726" t="n">
        <v>1</v>
      </c>
      <c r="K726" t="inlineStr">
        <is>
          <t>clasen_m15</t>
        </is>
      </c>
      <c r="L726" t="inlineStr">
        <is>
          <t>julia/experiments/tnwpaper/outputs/exptl_comparison</t>
        </is>
      </c>
      <c r="M726" t="inlineStr">
        <is>
          <t>ABANDONED: Sample-E M^-1.5</t>
        </is>
      </c>
    </row>
    <row r="727">
      <c r="A727" t="b">
        <v>0</v>
      </c>
      <c r="B727" t="n">
        <v>726</v>
      </c>
      <c r="C727" t="inlineStr">
        <is>
          <t>E6</t>
        </is>
      </c>
      <c r="D727" t="inlineStr">
        <is>
          <t>styext</t>
        </is>
      </c>
      <c r="E727" t="n">
        <v>11186</v>
      </c>
      <c r="F727" t="n">
        <v>0.04</v>
      </c>
      <c r="G727" t="inlineStr">
        <is>
          <t>fenepm</t>
        </is>
      </c>
      <c r="H727" t="inlineStr">
        <is>
          <t>c2d2</t>
        </is>
      </c>
      <c r="I727" t="n">
        <v>1</v>
      </c>
      <c r="J727" t="n">
        <v>1</v>
      </c>
      <c r="K727" t="inlineStr">
        <is>
          <t>clasen_m15</t>
        </is>
      </c>
      <c r="L727" t="inlineStr">
        <is>
          <t>julia/experiments/tnwpaper/outputs/exptl_comparison</t>
        </is>
      </c>
      <c r="M727" t="inlineStr">
        <is>
          <t>ABANDONED: Sample-E M^-1.5</t>
        </is>
      </c>
    </row>
    <row r="728">
      <c r="A728" t="b">
        <v>0</v>
      </c>
      <c r="B728" t="n">
        <v>727</v>
      </c>
      <c r="C728" t="inlineStr">
        <is>
          <t>E6</t>
        </is>
      </c>
      <c r="D728" t="inlineStr">
        <is>
          <t>caber</t>
        </is>
      </c>
      <c r="E728" t="n">
        <v>11186</v>
      </c>
      <c r="F728" t="n">
        <v>0.04</v>
      </c>
      <c r="G728" t="inlineStr">
        <is>
          <t>fenepm</t>
        </is>
      </c>
      <c r="H728" t="inlineStr">
        <is>
          <t>constant</t>
        </is>
      </c>
      <c r="I728" t="n">
        <v>1</v>
      </c>
      <c r="J728" t="inlineStr">
        <is>
          <t>[0.01, 0.03, 0.1, 0.3, 1, 3, 10, 30, 100]</t>
        </is>
      </c>
      <c r="K728" t="inlineStr">
        <is>
          <t>clasen_m15</t>
        </is>
      </c>
      <c r="L728" t="inlineStr">
        <is>
          <t>julia/experiments/tnwpaper/outputs/exptl_comparison</t>
        </is>
      </c>
      <c r="M728" t="inlineStr">
        <is>
          <t>ABANDONED: Sample-E M^-1.5</t>
        </is>
      </c>
    </row>
    <row r="729">
      <c r="A729" t="b">
        <v>0</v>
      </c>
      <c r="B729" t="n">
        <v>728</v>
      </c>
      <c r="C729" t="inlineStr">
        <is>
          <t>E6</t>
        </is>
      </c>
      <c r="D729" t="inlineStr">
        <is>
          <t>caber</t>
        </is>
      </c>
      <c r="E729" t="n">
        <v>11186</v>
      </c>
      <c r="F729" t="n">
        <v>0.04</v>
      </c>
      <c r="G729" t="inlineStr">
        <is>
          <t>fenepm</t>
        </is>
      </c>
      <c r="H729" t="inlineStr">
        <is>
          <t>c2d2</t>
        </is>
      </c>
      <c r="I729" t="n">
        <v>1</v>
      </c>
      <c r="J729" t="inlineStr">
        <is>
          <t>[0.01, 0.03, 0.1, 0.3, 1, 3, 10, 30, 100]</t>
        </is>
      </c>
      <c r="K729" t="inlineStr">
        <is>
          <t>clasen_m15</t>
        </is>
      </c>
      <c r="L729" t="inlineStr">
        <is>
          <t>julia/experiments/tnwpaper/outputs/exptl_comparison</t>
        </is>
      </c>
      <c r="M729" t="inlineStr">
        <is>
          <t>ABANDONED: Sample-E M^-1.5</t>
        </is>
      </c>
    </row>
    <row r="730">
      <c r="A730" t="b">
        <v>1</v>
      </c>
      <c r="B730" t="n">
        <v>729</v>
      </c>
      <c r="C730" t="inlineStr">
        <is>
          <t>E1</t>
        </is>
      </c>
      <c r="D730" t="inlineStr">
        <is>
          <t>styext</t>
        </is>
      </c>
      <c r="E730" t="n">
        <v>11186</v>
      </c>
      <c r="F730" t="n">
        <v>0.03</v>
      </c>
      <c r="G730" t="inlineStr">
        <is>
          <t>fenepm</t>
        </is>
      </c>
      <c r="H730" t="inlineStr">
        <is>
          <t>constant</t>
        </is>
      </c>
      <c r="I730" t="n">
        <v>0.016525</v>
      </c>
      <c r="J730" t="n">
        <v>1</v>
      </c>
      <c r="K730" t="inlineStr">
        <is>
          <t>clasen_e_km</t>
        </is>
      </c>
      <c r="L730" t="inlineStr">
        <is>
          <t>julia/experiments/tnwpaper/outputs/exptl_comparison</t>
        </is>
      </c>
      <c r="M730" t="inlineStr">
        <is>
          <t>CANONICAL: Clasen-Boger E, c/c*_KM, h*K=0.03 (rebased 2026-06-24)</t>
        </is>
      </c>
    </row>
    <row r="731">
      <c r="A731" t="b">
        <v>1</v>
      </c>
      <c r="B731" t="n">
        <v>730</v>
      </c>
      <c r="C731" t="inlineStr">
        <is>
          <t>E1</t>
        </is>
      </c>
      <c r="D731" t="inlineStr">
        <is>
          <t>caber</t>
        </is>
      </c>
      <c r="E731" t="n">
        <v>11186</v>
      </c>
      <c r="F731" t="n">
        <v>0.03</v>
      </c>
      <c r="G731" t="inlineStr">
        <is>
          <t>fenepm</t>
        </is>
      </c>
      <c r="H731" t="inlineStr">
        <is>
          <t>constant</t>
        </is>
      </c>
      <c r="I731" t="n">
        <v>0.016525</v>
      </c>
      <c r="J731" t="inlineStr">
        <is>
          <t>[0.01, 0.03, 0.1, 0.3, 1, 3, 10, 30, 100, 300]</t>
        </is>
      </c>
      <c r="K731" t="inlineStr">
        <is>
          <t>clasen_e_km</t>
        </is>
      </c>
      <c r="L731" t="inlineStr">
        <is>
          <t>julia/experiments/tnwpaper/outputs/exptl_comparison</t>
        </is>
      </c>
      <c r="M731" t="inlineStr">
        <is>
          <t>CANONICAL: Clasen-Boger E, c/c*_KM, h*K=0.03 (rebased 2026-06-24)</t>
        </is>
      </c>
    </row>
    <row r="732">
      <c r="A732" t="b">
        <v>1</v>
      </c>
      <c r="B732" t="n">
        <v>731</v>
      </c>
      <c r="C732" t="inlineStr">
        <is>
          <t>E1</t>
        </is>
      </c>
      <c r="D732" t="inlineStr">
        <is>
          <t>styext</t>
        </is>
      </c>
      <c r="E732" t="n">
        <v>11186</v>
      </c>
      <c r="F732" t="n">
        <v>0.03</v>
      </c>
      <c r="G732" t="inlineStr">
        <is>
          <t>fenepm</t>
        </is>
      </c>
      <c r="H732" t="inlineStr">
        <is>
          <t>c2d2</t>
        </is>
      </c>
      <c r="I732" t="n">
        <v>0.016525</v>
      </c>
      <c r="J732" t="n">
        <v>1</v>
      </c>
      <c r="K732" t="inlineStr">
        <is>
          <t>clasen_e_km</t>
        </is>
      </c>
      <c r="L732" t="inlineStr">
        <is>
          <t>julia/experiments/tnwpaper/outputs/exptl_comparison</t>
        </is>
      </c>
      <c r="M732" t="inlineStr">
        <is>
          <t>CANONICAL: Clasen-Boger E, c/c*_KM, h*K=0.03 (rebased 2026-06-24)</t>
        </is>
      </c>
    </row>
    <row r="733">
      <c r="A733" t="b">
        <v>1</v>
      </c>
      <c r="B733" t="n">
        <v>732</v>
      </c>
      <c r="C733" t="inlineStr">
        <is>
          <t>E1</t>
        </is>
      </c>
      <c r="D733" t="inlineStr">
        <is>
          <t>caber</t>
        </is>
      </c>
      <c r="E733" t="n">
        <v>11186</v>
      </c>
      <c r="F733" t="n">
        <v>0.03</v>
      </c>
      <c r="G733" t="inlineStr">
        <is>
          <t>fenepm</t>
        </is>
      </c>
      <c r="H733" t="inlineStr">
        <is>
          <t>c2d2</t>
        </is>
      </c>
      <c r="I733" t="n">
        <v>0.016525</v>
      </c>
      <c r="J733" t="inlineStr">
        <is>
          <t>[0.01, 0.03, 0.1, 0.3, 1, 3, 10, 30, 100, 300]</t>
        </is>
      </c>
      <c r="K733" t="inlineStr">
        <is>
          <t>clasen_e_km</t>
        </is>
      </c>
      <c r="L733" t="inlineStr">
        <is>
          <t>julia/experiments/tnwpaper/outputs/exptl_comparison</t>
        </is>
      </c>
      <c r="M733" t="inlineStr">
        <is>
          <t>CANONICAL: Clasen-Boger E, c/c*_KM, h*K=0.03 (rebased 2026-06-24)</t>
        </is>
      </c>
    </row>
    <row r="734">
      <c r="A734" t="b">
        <v>1</v>
      </c>
      <c r="B734" t="n">
        <v>733</v>
      </c>
      <c r="C734" t="inlineStr">
        <is>
          <t>E2</t>
        </is>
      </c>
      <c r="D734" t="inlineStr">
        <is>
          <t>styext</t>
        </is>
      </c>
      <c r="E734" t="n">
        <v>11186</v>
      </c>
      <c r="F734" t="n">
        <v>0.03</v>
      </c>
      <c r="G734" t="inlineStr">
        <is>
          <t>fenepm</t>
        </is>
      </c>
      <c r="H734" t="inlineStr">
        <is>
          <t>constant</t>
        </is>
      </c>
      <c r="I734" t="n">
        <v>0.020917</v>
      </c>
      <c r="J734" t="n">
        <v>1</v>
      </c>
      <c r="K734" t="inlineStr">
        <is>
          <t>clasen_e_km</t>
        </is>
      </c>
      <c r="L734" t="inlineStr">
        <is>
          <t>julia/experiments/tnwpaper/outputs/exptl_comparison</t>
        </is>
      </c>
      <c r="M734" t="inlineStr">
        <is>
          <t>CANONICAL: Clasen-Boger E, c/c*_KM, h*K=0.03 (rebased 2026-06-24)</t>
        </is>
      </c>
    </row>
    <row r="735">
      <c r="A735" t="b">
        <v>1</v>
      </c>
      <c r="B735" t="n">
        <v>734</v>
      </c>
      <c r="C735" t="inlineStr">
        <is>
          <t>E2</t>
        </is>
      </c>
      <c r="D735" t="inlineStr">
        <is>
          <t>caber</t>
        </is>
      </c>
      <c r="E735" t="n">
        <v>11186</v>
      </c>
      <c r="F735" t="n">
        <v>0.03</v>
      </c>
      <c r="G735" t="inlineStr">
        <is>
          <t>fenepm</t>
        </is>
      </c>
      <c r="H735" t="inlineStr">
        <is>
          <t>constant</t>
        </is>
      </c>
      <c r="I735" t="n">
        <v>0.020917</v>
      </c>
      <c r="J735" t="inlineStr">
        <is>
          <t>[0.01, 0.03, 0.1, 0.3, 1, 3, 10, 30, 100, 300]</t>
        </is>
      </c>
      <c r="K735" t="inlineStr">
        <is>
          <t>clasen_e_km</t>
        </is>
      </c>
      <c r="L735" t="inlineStr">
        <is>
          <t>julia/experiments/tnwpaper/outputs/exptl_comparison</t>
        </is>
      </c>
      <c r="M735" t="inlineStr">
        <is>
          <t>CANONICAL: Clasen-Boger E, c/c*_KM, h*K=0.03 (rebased 2026-06-24)</t>
        </is>
      </c>
    </row>
    <row r="736">
      <c r="A736" t="b">
        <v>1</v>
      </c>
      <c r="B736" t="n">
        <v>735</v>
      </c>
      <c r="C736" t="inlineStr">
        <is>
          <t>E2</t>
        </is>
      </c>
      <c r="D736" t="inlineStr">
        <is>
          <t>styext</t>
        </is>
      </c>
      <c r="E736" t="n">
        <v>11186</v>
      </c>
      <c r="F736" t="n">
        <v>0.03</v>
      </c>
      <c r="G736" t="inlineStr">
        <is>
          <t>fenepm</t>
        </is>
      </c>
      <c r="H736" t="inlineStr">
        <is>
          <t>c2d2</t>
        </is>
      </c>
      <c r="I736" t="n">
        <v>0.020917</v>
      </c>
      <c r="J736" t="n">
        <v>1</v>
      </c>
      <c r="K736" t="inlineStr">
        <is>
          <t>clasen_e_km</t>
        </is>
      </c>
      <c r="L736" t="inlineStr">
        <is>
          <t>julia/experiments/tnwpaper/outputs/exptl_comparison</t>
        </is>
      </c>
      <c r="M736" t="inlineStr">
        <is>
          <t>CANONICAL: Clasen-Boger E, c/c*_KM, h*K=0.03 (rebased 2026-06-24)</t>
        </is>
      </c>
    </row>
    <row r="737">
      <c r="A737" t="b">
        <v>1</v>
      </c>
      <c r="B737" t="n">
        <v>736</v>
      </c>
      <c r="C737" t="inlineStr">
        <is>
          <t>E2</t>
        </is>
      </c>
      <c r="D737" t="inlineStr">
        <is>
          <t>caber</t>
        </is>
      </c>
      <c r="E737" t="n">
        <v>11186</v>
      </c>
      <c r="F737" t="n">
        <v>0.03</v>
      </c>
      <c r="G737" t="inlineStr">
        <is>
          <t>fenepm</t>
        </is>
      </c>
      <c r="H737" t="inlineStr">
        <is>
          <t>c2d2</t>
        </is>
      </c>
      <c r="I737" t="n">
        <v>0.020917</v>
      </c>
      <c r="J737" t="inlineStr">
        <is>
          <t>[0.01, 0.03, 0.1, 0.3, 1, 3, 10, 30, 100, 300]</t>
        </is>
      </c>
      <c r="K737" t="inlineStr">
        <is>
          <t>clasen_e_km</t>
        </is>
      </c>
      <c r="L737" t="inlineStr">
        <is>
          <t>julia/experiments/tnwpaper/outputs/exptl_comparison</t>
        </is>
      </c>
      <c r="M737" t="inlineStr">
        <is>
          <t>CANONICAL: Clasen-Boger E, c/c*_KM, h*K=0.03 (rebased 2026-06-24)</t>
        </is>
      </c>
    </row>
    <row r="738">
      <c r="A738" t="b">
        <v>1</v>
      </c>
      <c r="B738" t="n">
        <v>737</v>
      </c>
      <c r="C738" t="inlineStr">
        <is>
          <t>E3</t>
        </is>
      </c>
      <c r="D738" t="inlineStr">
        <is>
          <t>styext</t>
        </is>
      </c>
      <c r="E738" t="n">
        <v>11186</v>
      </c>
      <c r="F738" t="n">
        <v>0.03</v>
      </c>
      <c r="G738" t="inlineStr">
        <is>
          <t>fenepm</t>
        </is>
      </c>
      <c r="H738" t="inlineStr">
        <is>
          <t>constant</t>
        </is>
      </c>
      <c r="I738" t="n">
        <v>0.066098</v>
      </c>
      <c r="J738" t="n">
        <v>1</v>
      </c>
      <c r="K738" t="inlineStr">
        <is>
          <t>clasen_e_km</t>
        </is>
      </c>
      <c r="L738" t="inlineStr">
        <is>
          <t>julia/experiments/tnwpaper/outputs/exptl_comparison</t>
        </is>
      </c>
      <c r="M738" t="inlineStr">
        <is>
          <t>CANONICAL: Clasen-Boger E, c/c*_KM, h*K=0.03 (rebased 2026-06-24)</t>
        </is>
      </c>
    </row>
    <row r="739">
      <c r="A739" t="b">
        <v>1</v>
      </c>
      <c r="B739" t="n">
        <v>738</v>
      </c>
      <c r="C739" t="inlineStr">
        <is>
          <t>E3</t>
        </is>
      </c>
      <c r="D739" t="inlineStr">
        <is>
          <t>caber</t>
        </is>
      </c>
      <c r="E739" t="n">
        <v>11186</v>
      </c>
      <c r="F739" t="n">
        <v>0.03</v>
      </c>
      <c r="G739" t="inlineStr">
        <is>
          <t>fenepm</t>
        </is>
      </c>
      <c r="H739" t="inlineStr">
        <is>
          <t>constant</t>
        </is>
      </c>
      <c r="I739" t="n">
        <v>0.066098</v>
      </c>
      <c r="J739" t="inlineStr">
        <is>
          <t>[0.01, 0.03, 0.1, 0.3, 1, 3, 10, 30, 100, 300]</t>
        </is>
      </c>
      <c r="K739" t="inlineStr">
        <is>
          <t>clasen_e_km</t>
        </is>
      </c>
      <c r="L739" t="inlineStr">
        <is>
          <t>julia/experiments/tnwpaper/outputs/exptl_comparison</t>
        </is>
      </c>
      <c r="M739" t="inlineStr">
        <is>
          <t>CANONICAL: Clasen-Boger E, c/c*_KM, h*K=0.03 (rebased 2026-06-24)</t>
        </is>
      </c>
    </row>
    <row r="740">
      <c r="A740" t="b">
        <v>1</v>
      </c>
      <c r="B740" t="n">
        <v>739</v>
      </c>
      <c r="C740" t="inlineStr">
        <is>
          <t>E3</t>
        </is>
      </c>
      <c r="D740" t="inlineStr">
        <is>
          <t>styext</t>
        </is>
      </c>
      <c r="E740" t="n">
        <v>11186</v>
      </c>
      <c r="F740" t="n">
        <v>0.03</v>
      </c>
      <c r="G740" t="inlineStr">
        <is>
          <t>fenepm</t>
        </is>
      </c>
      <c r="H740" t="inlineStr">
        <is>
          <t>c2d2</t>
        </is>
      </c>
      <c r="I740" t="n">
        <v>0.066098</v>
      </c>
      <c r="J740" t="n">
        <v>1</v>
      </c>
      <c r="K740" t="inlineStr">
        <is>
          <t>clasen_e_km</t>
        </is>
      </c>
      <c r="L740" t="inlineStr">
        <is>
          <t>julia/experiments/tnwpaper/outputs/exptl_comparison</t>
        </is>
      </c>
      <c r="M740" t="inlineStr">
        <is>
          <t>CANONICAL: Clasen-Boger E, c/c*_KM, h*K=0.03 (rebased 2026-06-24)</t>
        </is>
      </c>
    </row>
    <row r="741">
      <c r="A741" t="b">
        <v>1</v>
      </c>
      <c r="B741" t="n">
        <v>740</v>
      </c>
      <c r="C741" t="inlineStr">
        <is>
          <t>E3</t>
        </is>
      </c>
      <c r="D741" t="inlineStr">
        <is>
          <t>caber</t>
        </is>
      </c>
      <c r="E741" t="n">
        <v>11186</v>
      </c>
      <c r="F741" t="n">
        <v>0.03</v>
      </c>
      <c r="G741" t="inlineStr">
        <is>
          <t>fenepm</t>
        </is>
      </c>
      <c r="H741" t="inlineStr">
        <is>
          <t>c2d2</t>
        </is>
      </c>
      <c r="I741" t="n">
        <v>0.066098</v>
      </c>
      <c r="J741" t="inlineStr">
        <is>
          <t>[0.01, 0.03, 0.1, 0.3, 1, 3, 10, 30, 100, 300]</t>
        </is>
      </c>
      <c r="K741" t="inlineStr">
        <is>
          <t>clasen_e_km</t>
        </is>
      </c>
      <c r="L741" t="inlineStr">
        <is>
          <t>julia/experiments/tnwpaper/outputs/exptl_comparison</t>
        </is>
      </c>
      <c r="M741" t="inlineStr">
        <is>
          <t>CANONICAL: Clasen-Boger E, c/c*_KM, h*K=0.03 (rebased 2026-06-24)</t>
        </is>
      </c>
    </row>
    <row r="742">
      <c r="A742" t="b">
        <v>1</v>
      </c>
      <c r="B742" t="n">
        <v>741</v>
      </c>
      <c r="C742" t="inlineStr">
        <is>
          <t>E4</t>
        </is>
      </c>
      <c r="D742" t="inlineStr">
        <is>
          <t>styext</t>
        </is>
      </c>
      <c r="E742" t="n">
        <v>11186</v>
      </c>
      <c r="F742" t="n">
        <v>0.03</v>
      </c>
      <c r="G742" t="inlineStr">
        <is>
          <t>fenepm</t>
        </is>
      </c>
      <c r="H742" t="inlineStr">
        <is>
          <t>constant</t>
        </is>
      </c>
      <c r="I742" t="n">
        <v>0.209172</v>
      </c>
      <c r="J742" t="n">
        <v>1</v>
      </c>
      <c r="K742" t="inlineStr">
        <is>
          <t>clasen_e_km</t>
        </is>
      </c>
      <c r="L742" t="inlineStr">
        <is>
          <t>julia/experiments/tnwpaper/outputs/exptl_comparison</t>
        </is>
      </c>
      <c r="M742" t="inlineStr">
        <is>
          <t>CANONICAL: Clasen-Boger E, c/c*_KM, h*K=0.03 (rebased 2026-06-24)</t>
        </is>
      </c>
    </row>
    <row r="743">
      <c r="A743" t="b">
        <v>1</v>
      </c>
      <c r="B743" t="n">
        <v>742</v>
      </c>
      <c r="C743" t="inlineStr">
        <is>
          <t>E4</t>
        </is>
      </c>
      <c r="D743" t="inlineStr">
        <is>
          <t>caber</t>
        </is>
      </c>
      <c r="E743" t="n">
        <v>11186</v>
      </c>
      <c r="F743" t="n">
        <v>0.03</v>
      </c>
      <c r="G743" t="inlineStr">
        <is>
          <t>fenepm</t>
        </is>
      </c>
      <c r="H743" t="inlineStr">
        <is>
          <t>constant</t>
        </is>
      </c>
      <c r="I743" t="n">
        <v>0.209172</v>
      </c>
      <c r="J743" t="inlineStr">
        <is>
          <t>[0.01, 0.03, 0.1, 0.3, 1, 3, 10, 30, 100, 300]</t>
        </is>
      </c>
      <c r="K743" t="inlineStr">
        <is>
          <t>clasen_e_km</t>
        </is>
      </c>
      <c r="L743" t="inlineStr">
        <is>
          <t>julia/experiments/tnwpaper/outputs/exptl_comparison</t>
        </is>
      </c>
      <c r="M743" t="inlineStr">
        <is>
          <t>CANONICAL: Clasen-Boger E, c/c*_KM, h*K=0.03 (rebased 2026-06-24)</t>
        </is>
      </c>
    </row>
    <row r="744">
      <c r="A744" t="b">
        <v>1</v>
      </c>
      <c r="B744" t="n">
        <v>743</v>
      </c>
      <c r="C744" t="inlineStr">
        <is>
          <t>E4</t>
        </is>
      </c>
      <c r="D744" t="inlineStr">
        <is>
          <t>styext</t>
        </is>
      </c>
      <c r="E744" t="n">
        <v>11186</v>
      </c>
      <c r="F744" t="n">
        <v>0.03</v>
      </c>
      <c r="G744" t="inlineStr">
        <is>
          <t>fenepm</t>
        </is>
      </c>
      <c r="H744" t="inlineStr">
        <is>
          <t>c2d2</t>
        </is>
      </c>
      <c r="I744" t="n">
        <v>0.209172</v>
      </c>
      <c r="J744" t="n">
        <v>1</v>
      </c>
      <c r="K744" t="inlineStr">
        <is>
          <t>clasen_e_km</t>
        </is>
      </c>
      <c r="L744" t="inlineStr">
        <is>
          <t>julia/experiments/tnwpaper/outputs/exptl_comparison</t>
        </is>
      </c>
      <c r="M744" t="inlineStr">
        <is>
          <t>CANONICAL: Clasen-Boger E, c/c*_KM, h*K=0.03 (rebased 2026-06-24)</t>
        </is>
      </c>
    </row>
    <row r="745">
      <c r="A745" t="b">
        <v>1</v>
      </c>
      <c r="B745" t="n">
        <v>744</v>
      </c>
      <c r="C745" t="inlineStr">
        <is>
          <t>E4</t>
        </is>
      </c>
      <c r="D745" t="inlineStr">
        <is>
          <t>caber</t>
        </is>
      </c>
      <c r="E745" t="n">
        <v>11186</v>
      </c>
      <c r="F745" t="n">
        <v>0.03</v>
      </c>
      <c r="G745" t="inlineStr">
        <is>
          <t>fenepm</t>
        </is>
      </c>
      <c r="H745" t="inlineStr">
        <is>
          <t>c2d2</t>
        </is>
      </c>
      <c r="I745" t="n">
        <v>0.209172</v>
      </c>
      <c r="J745" t="inlineStr">
        <is>
          <t>[0.01, 0.03, 0.1, 0.3, 1, 3, 10, 30, 100, 300]</t>
        </is>
      </c>
      <c r="K745" t="inlineStr">
        <is>
          <t>clasen_e_km</t>
        </is>
      </c>
      <c r="L745" t="inlineStr">
        <is>
          <t>julia/experiments/tnwpaper/outputs/exptl_comparison</t>
        </is>
      </c>
      <c r="M745" t="inlineStr">
        <is>
          <t>CANONICAL: Clasen-Boger E, c/c*_KM, h*K=0.03 (rebased 2026-06-24)</t>
        </is>
      </c>
    </row>
    <row r="746">
      <c r="A746" t="b">
        <v>1</v>
      </c>
      <c r="B746" t="n">
        <v>745</v>
      </c>
      <c r="C746" t="inlineStr">
        <is>
          <t>E5</t>
        </is>
      </c>
      <c r="D746" t="inlineStr">
        <is>
          <t>styext</t>
        </is>
      </c>
      <c r="E746" t="n">
        <v>11186</v>
      </c>
      <c r="F746" t="n">
        <v>0.03</v>
      </c>
      <c r="G746" t="inlineStr">
        <is>
          <t>fenepm</t>
        </is>
      </c>
      <c r="H746" t="inlineStr">
        <is>
          <t>constant</t>
        </is>
      </c>
      <c r="I746" t="n">
        <v>0.660983</v>
      </c>
      <c r="J746" t="n">
        <v>1</v>
      </c>
      <c r="K746" t="inlineStr">
        <is>
          <t>clasen_e_km</t>
        </is>
      </c>
      <c r="L746" t="inlineStr">
        <is>
          <t>julia/experiments/tnwpaper/outputs/exptl_comparison</t>
        </is>
      </c>
      <c r="M746" t="inlineStr">
        <is>
          <t>CANONICAL: Clasen-Boger E, c/c*_KM, h*K=0.03 (rebased 2026-06-24)</t>
        </is>
      </c>
    </row>
    <row r="747">
      <c r="A747" t="b">
        <v>1</v>
      </c>
      <c r="B747" t="n">
        <v>746</v>
      </c>
      <c r="C747" t="inlineStr">
        <is>
          <t>E5</t>
        </is>
      </c>
      <c r="D747" t="inlineStr">
        <is>
          <t>caber</t>
        </is>
      </c>
      <c r="E747" t="n">
        <v>11186</v>
      </c>
      <c r="F747" t="n">
        <v>0.03</v>
      </c>
      <c r="G747" t="inlineStr">
        <is>
          <t>fenepm</t>
        </is>
      </c>
      <c r="H747" t="inlineStr">
        <is>
          <t>constant</t>
        </is>
      </c>
      <c r="I747" t="n">
        <v>0.660983</v>
      </c>
      <c r="J747" t="inlineStr">
        <is>
          <t>[0.01, 0.03, 0.1, 0.3, 1, 3, 10, 30, 100, 300]</t>
        </is>
      </c>
      <c r="K747" t="inlineStr">
        <is>
          <t>clasen_e_km</t>
        </is>
      </c>
      <c r="L747" t="inlineStr">
        <is>
          <t>julia/experiments/tnwpaper/outputs/exptl_comparison</t>
        </is>
      </c>
      <c r="M747" t="inlineStr">
        <is>
          <t>CANONICAL: Clasen-Boger E, c/c*_KM, h*K=0.03 (rebased 2026-06-24)</t>
        </is>
      </c>
    </row>
    <row r="748">
      <c r="A748" t="b">
        <v>1</v>
      </c>
      <c r="B748" t="n">
        <v>747</v>
      </c>
      <c r="C748" t="inlineStr">
        <is>
          <t>E5</t>
        </is>
      </c>
      <c r="D748" t="inlineStr">
        <is>
          <t>styext</t>
        </is>
      </c>
      <c r="E748" t="n">
        <v>11186</v>
      </c>
      <c r="F748" t="n">
        <v>0.03</v>
      </c>
      <c r="G748" t="inlineStr">
        <is>
          <t>fenepm</t>
        </is>
      </c>
      <c r="H748" t="inlineStr">
        <is>
          <t>c2d2</t>
        </is>
      </c>
      <c r="I748" t="n">
        <v>0.660983</v>
      </c>
      <c r="J748" t="n">
        <v>1</v>
      </c>
      <c r="K748" t="inlineStr">
        <is>
          <t>clasen_e_km</t>
        </is>
      </c>
      <c r="L748" t="inlineStr">
        <is>
          <t>julia/experiments/tnwpaper/outputs/exptl_comparison</t>
        </is>
      </c>
      <c r="M748" t="inlineStr">
        <is>
          <t>CANONICAL: Clasen-Boger E, c/c*_KM, h*K=0.03 (rebased 2026-06-24)</t>
        </is>
      </c>
    </row>
    <row r="749">
      <c r="A749" t="b">
        <v>1</v>
      </c>
      <c r="B749" t="n">
        <v>748</v>
      </c>
      <c r="C749" t="inlineStr">
        <is>
          <t>E5</t>
        </is>
      </c>
      <c r="D749" t="inlineStr">
        <is>
          <t>caber</t>
        </is>
      </c>
      <c r="E749" t="n">
        <v>11186</v>
      </c>
      <c r="F749" t="n">
        <v>0.03</v>
      </c>
      <c r="G749" t="inlineStr">
        <is>
          <t>fenepm</t>
        </is>
      </c>
      <c r="H749" t="inlineStr">
        <is>
          <t>c2d2</t>
        </is>
      </c>
      <c r="I749" t="n">
        <v>0.660983</v>
      </c>
      <c r="J749" t="inlineStr">
        <is>
          <t>[0.01, 0.03, 0.1, 0.3, 1, 3, 10, 30, 100, 300]</t>
        </is>
      </c>
      <c r="K749" t="inlineStr">
        <is>
          <t>clasen_e_km</t>
        </is>
      </c>
      <c r="L749" t="inlineStr">
        <is>
          <t>julia/experiments/tnwpaper/outputs/exptl_comparison</t>
        </is>
      </c>
      <c r="M749" t="inlineStr">
        <is>
          <t>CANONICAL: Clasen-Boger E, c/c*_KM, h*K=0.03 (rebased 2026-06-24)</t>
        </is>
      </c>
    </row>
    <row r="750">
      <c r="A750" t="b">
        <v>1</v>
      </c>
      <c r="B750" t="n">
        <v>749</v>
      </c>
      <c r="C750" t="inlineStr">
        <is>
          <t>E6</t>
        </is>
      </c>
      <c r="D750" t="inlineStr">
        <is>
          <t>styext</t>
        </is>
      </c>
      <c r="E750" t="n">
        <v>11186</v>
      </c>
      <c r="F750" t="n">
        <v>0.03</v>
      </c>
      <c r="G750" t="inlineStr">
        <is>
          <t>fenepm</t>
        </is>
      </c>
      <c r="H750" t="inlineStr">
        <is>
          <t>constant</t>
        </is>
      </c>
      <c r="I750" t="n">
        <v>2.091718</v>
      </c>
      <c r="J750" t="n">
        <v>1</v>
      </c>
      <c r="K750" t="inlineStr">
        <is>
          <t>clasen_e_km</t>
        </is>
      </c>
      <c r="L750" t="inlineStr">
        <is>
          <t>julia/experiments/tnwpaper/outputs/exptl_comparison</t>
        </is>
      </c>
      <c r="M750" t="inlineStr">
        <is>
          <t>CANONICAL: Clasen-Boger E, c/c*_KM, h*K=0.03 (rebased 2026-06-24)</t>
        </is>
      </c>
    </row>
    <row r="751">
      <c r="A751" t="b">
        <v>1</v>
      </c>
      <c r="B751" t="n">
        <v>750</v>
      </c>
      <c r="C751" t="inlineStr">
        <is>
          <t>E6</t>
        </is>
      </c>
      <c r="D751" t="inlineStr">
        <is>
          <t>caber</t>
        </is>
      </c>
      <c r="E751" t="n">
        <v>11186</v>
      </c>
      <c r="F751" t="n">
        <v>0.03</v>
      </c>
      <c r="G751" t="inlineStr">
        <is>
          <t>fenepm</t>
        </is>
      </c>
      <c r="H751" t="inlineStr">
        <is>
          <t>constant</t>
        </is>
      </c>
      <c r="I751" t="n">
        <v>2.091718</v>
      </c>
      <c r="J751" t="inlineStr">
        <is>
          <t>[0.01, 0.03, 0.1, 0.3, 1, 3, 10, 30, 100, 300]</t>
        </is>
      </c>
      <c r="K751" t="inlineStr">
        <is>
          <t>clasen_e_km</t>
        </is>
      </c>
      <c r="L751" t="inlineStr">
        <is>
          <t>julia/experiments/tnwpaper/outputs/exptl_comparison</t>
        </is>
      </c>
      <c r="M751" t="inlineStr">
        <is>
          <t>CANONICAL: Clasen-Boger E, c/c*_KM, h*K=0.03 (rebased 2026-06-24)</t>
        </is>
      </c>
    </row>
    <row r="752">
      <c r="A752" t="b">
        <v>1</v>
      </c>
      <c r="B752" t="n">
        <v>751</v>
      </c>
      <c r="C752" t="inlineStr">
        <is>
          <t>E6</t>
        </is>
      </c>
      <c r="D752" t="inlineStr">
        <is>
          <t>styext</t>
        </is>
      </c>
      <c r="E752" t="n">
        <v>11186</v>
      </c>
      <c r="F752" t="n">
        <v>0.03</v>
      </c>
      <c r="G752" t="inlineStr">
        <is>
          <t>fenepm</t>
        </is>
      </c>
      <c r="H752" t="inlineStr">
        <is>
          <t>c2d2</t>
        </is>
      </c>
      <c r="I752" t="n">
        <v>2.091718</v>
      </c>
      <c r="J752" t="n">
        <v>1</v>
      </c>
      <c r="K752" t="inlineStr">
        <is>
          <t>clasen_e_km</t>
        </is>
      </c>
      <c r="L752" t="inlineStr">
        <is>
          <t>julia/experiments/tnwpaper/outputs/exptl_comparison</t>
        </is>
      </c>
      <c r="M752" t="inlineStr">
        <is>
          <t>CANONICAL: Clasen-Boger E, c/c*_KM, h*K=0.03 (rebased 2026-06-24)</t>
        </is>
      </c>
    </row>
    <row r="753">
      <c r="A753" t="b">
        <v>1</v>
      </c>
      <c r="B753" t="n">
        <v>752</v>
      </c>
      <c r="C753" t="inlineStr">
        <is>
          <t>E6</t>
        </is>
      </c>
      <c r="D753" t="inlineStr">
        <is>
          <t>caber</t>
        </is>
      </c>
      <c r="E753" t="n">
        <v>11186</v>
      </c>
      <c r="F753" t="n">
        <v>0.03</v>
      </c>
      <c r="G753" t="inlineStr">
        <is>
          <t>fenepm</t>
        </is>
      </c>
      <c r="H753" t="inlineStr">
        <is>
          <t>c2d2</t>
        </is>
      </c>
      <c r="I753" t="n">
        <v>2.091718</v>
      </c>
      <c r="J753" t="inlineStr">
        <is>
          <t>[0.01, 0.03, 0.1, 0.3, 1, 3, 10, 30, 100, 300]</t>
        </is>
      </c>
      <c r="K753" t="inlineStr">
        <is>
          <t>clasen_e_km</t>
        </is>
      </c>
      <c r="L753" t="inlineStr">
        <is>
          <t>julia/experiments/tnwpaper/outputs/exptl_comparison</t>
        </is>
      </c>
      <c r="M753" t="inlineStr">
        <is>
          <t>CANONICAL: Clasen-Boger E, c/c*_KM, h*K=0.03 (rebased 2026-06-24)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zoomScale="118" workbookViewId="0">
      <selection activeCell="A2" sqref="A2:A22"/>
    </sheetView>
  </sheetViews>
  <sheetFormatPr baseColWidth="10" defaultRowHeight="16"/>
  <sheetData>
    <row r="1">
      <c r="A1" t="inlineStr">
        <is>
          <t>sample_id</t>
        </is>
      </c>
      <c r="B1" t="inlineStr">
        <is>
          <t>NK</t>
        </is>
      </c>
      <c r="C1" t="inlineStr">
        <is>
          <t>phi</t>
        </is>
      </c>
      <c r="D1" t="inlineStr">
        <is>
          <t>De</t>
        </is>
      </c>
      <c r="E1" t="inlineStr">
        <is>
          <t>Wie</t>
        </is>
      </c>
    </row>
    <row r="2">
      <c r="A2" t="inlineStr">
        <is>
          <t>G1</t>
        </is>
      </c>
      <c r="B2" t="n">
        <v>29197.0802919708</v>
      </c>
      <c r="C2" s="14" t="n">
        <v>0.02</v>
      </c>
      <c r="D2" t="n">
        <v>8.904047978087457</v>
      </c>
      <c r="E2" t="n">
        <v>0.7539513033353039</v>
      </c>
    </row>
    <row r="3">
      <c r="A3" t="inlineStr">
        <is>
          <t>G1</t>
        </is>
      </c>
      <c r="B3" t="n">
        <v>29197.0802919708</v>
      </c>
      <c r="C3" s="14" t="n">
        <v>0.02</v>
      </c>
      <c r="D3" t="n">
        <v>10.84451609662391</v>
      </c>
      <c r="E3" t="n">
        <v>0.8250857749495866</v>
      </c>
    </row>
    <row r="4">
      <c r="A4" t="inlineStr">
        <is>
          <t>G1</t>
        </is>
      </c>
      <c r="B4" t="n">
        <v>29197.0802919708</v>
      </c>
      <c r="C4" s="14" t="n">
        <v>0.02</v>
      </c>
      <c r="D4" t="n">
        <v>13.20023314201118</v>
      </c>
      <c r="E4" t="n">
        <v>0.9450603011442607</v>
      </c>
    </row>
    <row r="5">
      <c r="A5" t="inlineStr">
        <is>
          <t>G1</t>
        </is>
      </c>
      <c r="B5" t="n">
        <v>29197.0802919708</v>
      </c>
      <c r="C5" s="14" t="n">
        <v>0.02</v>
      </c>
      <c r="D5" t="n">
        <v>15.65157055441743</v>
      </c>
      <c r="E5" t="n">
        <v>1.034281206286527</v>
      </c>
    </row>
    <row r="6">
      <c r="A6" t="inlineStr">
        <is>
          <t>G1</t>
        </is>
      </c>
      <c r="B6" t="n">
        <v>29197.0802919708</v>
      </c>
      <c r="C6" s="14" t="n">
        <v>0.02</v>
      </c>
      <c r="D6" t="n">
        <v>18.53900355573966</v>
      </c>
      <c r="E6" t="n">
        <v>1.127386768596523</v>
      </c>
    </row>
    <row r="7">
      <c r="A7" t="inlineStr">
        <is>
          <t>G1</t>
        </is>
      </c>
      <c r="B7" t="n">
        <v>29197.0802919708</v>
      </c>
      <c r="C7" s="14" t="n">
        <v>0.02</v>
      </c>
      <c r="D7" t="n">
        <v>18.63922750560254</v>
      </c>
      <c r="E7" t="n">
        <v>1.648270538357364</v>
      </c>
    </row>
    <row r="8">
      <c r="A8" t="inlineStr">
        <is>
          <t>G1</t>
        </is>
      </c>
      <c r="B8" t="n">
        <v>29197.0802919708</v>
      </c>
      <c r="C8" s="14" t="n">
        <v>0.02</v>
      </c>
      <c r="D8" t="n">
        <v>22.20010931498235</v>
      </c>
      <c r="E8" t="n">
        <v>1.835478532310994</v>
      </c>
    </row>
    <row r="9">
      <c r="A9" t="inlineStr">
        <is>
          <t>G1</t>
        </is>
      </c>
      <c r="B9" t="n">
        <v>29197.0802919708</v>
      </c>
      <c r="C9" s="14" t="n">
        <v>0.02</v>
      </c>
      <c r="D9" t="n">
        <v>24.09341319740261</v>
      </c>
      <c r="E9" t="n">
        <v>1.38504292239484</v>
      </c>
    </row>
    <row r="10">
      <c r="A10" t="inlineStr">
        <is>
          <t>G1</t>
        </is>
      </c>
      <c r="B10" t="n">
        <v>29197.0802919708</v>
      </c>
      <c r="C10" s="14" t="n">
        <v>0.02</v>
      </c>
      <c r="D10" t="n">
        <v>29.80770349765051</v>
      </c>
      <c r="E10" t="n">
        <v>2.131604800422249</v>
      </c>
    </row>
    <row r="11">
      <c r="A11" t="inlineStr">
        <is>
          <t>G1</t>
        </is>
      </c>
      <c r="B11" t="n">
        <v>29197.0802919708</v>
      </c>
      <c r="C11" s="14" t="n">
        <v>0.02</v>
      </c>
      <c r="D11" t="n">
        <v>30.22433574298933</v>
      </c>
      <c r="E11" t="n">
        <v>2.014565437614789</v>
      </c>
    </row>
    <row r="12">
      <c r="A12" t="inlineStr">
        <is>
          <t>G1</t>
        </is>
      </c>
      <c r="B12" t="n">
        <v>29197.0802919708</v>
      </c>
      <c r="C12" s="14" t="n">
        <v>0.02</v>
      </c>
      <c r="D12" t="n">
        <v>35.84446701062271</v>
      </c>
      <c r="E12" t="n">
        <v>2.29143572537714</v>
      </c>
    </row>
    <row r="13">
      <c r="A13" t="inlineStr">
        <is>
          <t>G1</t>
        </is>
      </c>
      <c r="B13" t="n">
        <v>29197.0802919708</v>
      </c>
      <c r="C13" s="14" t="n">
        <v>0.02</v>
      </c>
      <c r="D13" t="n">
        <v>39.02665010240192</v>
      </c>
      <c r="E13" t="n">
        <v>1.777790940792383</v>
      </c>
    </row>
    <row r="14">
      <c r="A14" t="inlineStr">
        <is>
          <t>G1</t>
        </is>
      </c>
      <c r="B14" t="n">
        <v>29197.0802919708</v>
      </c>
      <c r="C14" s="14" t="n">
        <v>0.02</v>
      </c>
      <c r="D14" t="n">
        <v>42.92476851257982</v>
      </c>
      <c r="E14" t="n">
        <v>2.257526622642199</v>
      </c>
    </row>
    <row r="15">
      <c r="A15" t="inlineStr">
        <is>
          <t>G1</t>
        </is>
      </c>
      <c r="B15" t="n">
        <v>29197.0802919708</v>
      </c>
      <c r="C15" s="14" t="n">
        <v>0.02</v>
      </c>
      <c r="D15" t="n">
        <v>49.95777746119221</v>
      </c>
      <c r="E15" t="n">
        <v>2.757600164260938</v>
      </c>
    </row>
    <row r="16">
      <c r="A16" t="inlineStr">
        <is>
          <t>G1</t>
        </is>
      </c>
      <c r="B16" t="n">
        <v>29197.0802919708</v>
      </c>
      <c r="C16" s="14" t="n">
        <v>0.02</v>
      </c>
      <c r="D16" t="n">
        <v>54.47568765341229</v>
      </c>
      <c r="E16" t="n">
        <v>2.444542450642438</v>
      </c>
    </row>
    <row r="17">
      <c r="A17" t="inlineStr">
        <is>
          <t>G1</t>
        </is>
      </c>
      <c r="B17" t="n">
        <v>29197.0802919708</v>
      </c>
      <c r="C17" s="14" t="n">
        <v>0.02</v>
      </c>
      <c r="D17" t="n">
        <v>55.2016952350514</v>
      </c>
      <c r="E17" t="n">
        <v>3.247159486225384</v>
      </c>
    </row>
    <row r="18">
      <c r="A18" t="inlineStr">
        <is>
          <t>G1</t>
        </is>
      </c>
      <c r="B18" t="n">
        <v>29197.0802919708</v>
      </c>
      <c r="C18" s="14" t="n">
        <v>0.02</v>
      </c>
      <c r="D18" t="n">
        <v>58.81238155368053</v>
      </c>
      <c r="E18" t="n">
        <v>4.056565950720953</v>
      </c>
    </row>
    <row r="19">
      <c r="A19" t="inlineStr">
        <is>
          <t>G1</t>
        </is>
      </c>
      <c r="B19" t="n">
        <v>29197.0802919708</v>
      </c>
      <c r="C19" s="14" t="n">
        <v>0.02</v>
      </c>
      <c r="D19" t="n">
        <v>76.95721563708372</v>
      </c>
      <c r="E19" t="n">
        <v>4.176020000286646</v>
      </c>
    </row>
    <row r="20">
      <c r="A20" t="inlineStr">
        <is>
          <t>G1</t>
        </is>
      </c>
      <c r="B20" t="n">
        <v>29197.0802919708</v>
      </c>
      <c r="C20" s="14" t="n">
        <v>0.02</v>
      </c>
      <c r="D20" t="n">
        <v>89.73449474789031</v>
      </c>
      <c r="E20" t="n">
        <v>2.828076625540926</v>
      </c>
    </row>
    <row r="21">
      <c r="A21" t="inlineStr">
        <is>
          <t>G1</t>
        </is>
      </c>
      <c r="B21" t="n">
        <v>29197.0802919708</v>
      </c>
      <c r="C21" s="14" t="n">
        <v>0.02</v>
      </c>
      <c r="D21" t="n">
        <v>93.3949972540332</v>
      </c>
      <c r="E21" t="n">
        <v>3.911829504248896</v>
      </c>
    </row>
    <row r="22">
      <c r="A22" t="inlineStr">
        <is>
          <t>G1</t>
        </is>
      </c>
      <c r="B22" t="n">
        <v>29197.0802919708</v>
      </c>
      <c r="C22" s="14" t="n">
        <v>0.02</v>
      </c>
      <c r="D22" t="n">
        <v>98.32414690082143</v>
      </c>
      <c r="E22" t="n">
        <v>4.793681300871206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10" defaultColWidth="8.83203125" defaultRowHeight="16"/>
  <sheetData>
    <row r="1">
      <c r="A1" s="12" t="inlineStr">
        <is>
          <t>sample_id</t>
        </is>
      </c>
      <c r="B1" s="12" t="inlineStr">
        <is>
          <t>NK</t>
        </is>
      </c>
      <c r="C1" s="12" t="inlineStr">
        <is>
          <t>phi</t>
        </is>
      </c>
      <c r="D1" s="12" t="inlineStr">
        <is>
          <t>De</t>
        </is>
      </c>
      <c r="E1" s="12" t="inlineStr">
        <is>
          <t>Wie</t>
        </is>
      </c>
      <c r="G1" t="inlineStr">
        <is>
          <t>De col = De_0_v (viscous). NB low-Oh: De_0_v~300-700 (&gt;&gt;0.1-100 sweep); De_0_R(inertial)~1.5-4 in Gaillard_expdata col P. 10000ppm entangled (lam1 invalid).</t>
        </is>
      </c>
    </row>
    <row r="2">
      <c r="A2" t="inlineStr">
        <is>
          <t>GA_5</t>
        </is>
      </c>
      <c r="B2">
        <f>Gaillard_expdata!$C$42/137</f>
        <v/>
      </c>
      <c r="C2">
        <f>Gaillard_expdata!C50</f>
        <v/>
      </c>
      <c r="D2">
        <f>Gaillard_expdata!O50</f>
        <v/>
      </c>
      <c r="E2">
        <f>Gaillard_expdata!T50</f>
        <v/>
      </c>
    </row>
    <row r="3">
      <c r="A3" t="inlineStr">
        <is>
          <t>GA_10</t>
        </is>
      </c>
      <c r="B3">
        <f>Gaillard_expdata!$C$42/137</f>
        <v/>
      </c>
      <c r="C3">
        <f>Gaillard_expdata!C51</f>
        <v/>
      </c>
      <c r="D3">
        <f>Gaillard_expdata!O51</f>
        <v/>
      </c>
      <c r="E3">
        <f>Gaillard_expdata!T51</f>
        <v/>
      </c>
    </row>
    <row r="4">
      <c r="A4" t="inlineStr">
        <is>
          <t>GA_25</t>
        </is>
      </c>
      <c r="B4">
        <f>Gaillard_expdata!$C$42/137</f>
        <v/>
      </c>
      <c r="C4">
        <f>Gaillard_expdata!C52</f>
        <v/>
      </c>
      <c r="D4">
        <f>Gaillard_expdata!O52</f>
        <v/>
      </c>
      <c r="E4">
        <f>Gaillard_expdata!T52</f>
        <v/>
      </c>
    </row>
    <row r="5">
      <c r="A5" t="inlineStr">
        <is>
          <t>GA_50</t>
        </is>
      </c>
      <c r="B5">
        <f>Gaillard_expdata!$C$42/137</f>
        <v/>
      </c>
      <c r="C5">
        <f>Gaillard_expdata!C53</f>
        <v/>
      </c>
      <c r="D5">
        <f>Gaillard_expdata!O53</f>
        <v/>
      </c>
      <c r="E5">
        <f>Gaillard_expdata!T53</f>
        <v/>
      </c>
    </row>
    <row r="6">
      <c r="A6" t="inlineStr">
        <is>
          <t>GA_100</t>
        </is>
      </c>
      <c r="B6">
        <f>Gaillard_expdata!$C$42/137</f>
        <v/>
      </c>
      <c r="C6">
        <f>Gaillard_expdata!C54</f>
        <v/>
      </c>
      <c r="D6">
        <f>Gaillard_expdata!O54</f>
        <v/>
      </c>
      <c r="E6">
        <f>Gaillard_expdata!T54</f>
        <v/>
      </c>
    </row>
    <row r="7">
      <c r="A7" t="inlineStr">
        <is>
          <t>GA_250</t>
        </is>
      </c>
      <c r="B7">
        <f>Gaillard_expdata!$C$42/137</f>
        <v/>
      </c>
      <c r="C7">
        <f>Gaillard_expdata!C55</f>
        <v/>
      </c>
      <c r="D7">
        <f>Gaillard_expdata!O55</f>
        <v/>
      </c>
      <c r="E7">
        <f>Gaillard_expdata!T55</f>
        <v/>
      </c>
    </row>
    <row r="8">
      <c r="A8" t="inlineStr">
        <is>
          <t>GA_500</t>
        </is>
      </c>
      <c r="B8">
        <f>Gaillard_expdata!$C$42/137</f>
        <v/>
      </c>
      <c r="C8">
        <f>Gaillard_expdata!C56</f>
        <v/>
      </c>
      <c r="D8">
        <f>Gaillard_expdata!O56</f>
        <v/>
      </c>
      <c r="E8">
        <f>Gaillard_expdata!T56</f>
        <v/>
      </c>
    </row>
    <row r="9">
      <c r="A9" t="inlineStr">
        <is>
          <t>GA_1000</t>
        </is>
      </c>
      <c r="B9">
        <f>Gaillard_expdata!$C$42/137</f>
        <v/>
      </c>
      <c r="C9">
        <f>Gaillard_expdata!C57</f>
        <v/>
      </c>
      <c r="D9">
        <f>Gaillard_expdata!O57</f>
        <v/>
      </c>
      <c r="E9">
        <f>Gaillard_expdata!T57</f>
        <v/>
      </c>
    </row>
    <row r="10">
      <c r="A10" t="inlineStr">
        <is>
          <t>GA_2500</t>
        </is>
      </c>
      <c r="B10">
        <f>Gaillard_expdata!$C$42/137</f>
        <v/>
      </c>
      <c r="C10">
        <f>Gaillard_expdata!C58</f>
        <v/>
      </c>
      <c r="D10">
        <f>Gaillard_expdata!O58</f>
        <v/>
      </c>
      <c r="E10">
        <f>Gaillard_expdata!T58</f>
        <v/>
      </c>
    </row>
    <row r="11">
      <c r="A11" t="inlineStr">
        <is>
          <t>GA_10000</t>
        </is>
      </c>
      <c r="B11">
        <f>Gaillard_expdata!$C$42/137</f>
        <v/>
      </c>
      <c r="C11">
        <f>Gaillard_expdata!C59</f>
        <v/>
      </c>
      <c r="D11">
        <f>Gaillard_expdata!O59</f>
        <v/>
      </c>
      <c r="E11">
        <f>Gaillard_expdata!T59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="201" zoomScaleNormal="201" workbookViewId="0">
      <selection activeCell="A5" sqref="A5"/>
    </sheetView>
  </sheetViews>
  <sheetFormatPr baseColWidth="10" defaultRowHeight="16"/>
  <sheetData>
    <row r="1">
      <c r="A1" t="inlineStr">
        <is>
          <t>sample_id</t>
        </is>
      </c>
      <c r="B1" t="inlineStr">
        <is>
          <t>NK</t>
        </is>
      </c>
      <c r="C1" t="inlineStr">
        <is>
          <t xml:space="preserve">phi </t>
        </is>
      </c>
      <c r="D1" t="inlineStr">
        <is>
          <t>De</t>
        </is>
      </c>
      <c r="E1" t="inlineStr">
        <is>
          <t>Wie</t>
        </is>
      </c>
    </row>
    <row r="2">
      <c r="A2" t="inlineStr">
        <is>
          <t>A1</t>
        </is>
      </c>
      <c r="B2" t="n">
        <v>2695.417789757412</v>
      </c>
      <c r="C2" t="n">
        <v>0.1260831015237082</v>
      </c>
      <c r="D2" t="n">
        <v>5.260267789980442</v>
      </c>
      <c r="E2" t="n">
        <v>0.7732497387669801</v>
      </c>
    </row>
    <row r="3">
      <c r="A3" t="inlineStr">
        <is>
          <t>A2</t>
        </is>
      </c>
      <c r="B3" t="n">
        <v>8760.10781671159</v>
      </c>
      <c r="C3" t="n">
        <v>0.2272995437566309</v>
      </c>
      <c r="D3" t="n">
        <v>50.69777471105743</v>
      </c>
      <c r="E3" t="n">
        <v>0.7458033573141487</v>
      </c>
    </row>
    <row r="4">
      <c r="A4" t="inlineStr">
        <is>
          <t>A3</t>
        </is>
      </c>
      <c r="B4" t="n">
        <v>26954.17789757413</v>
      </c>
      <c r="C4" t="n">
        <v>0.3987097752731645</v>
      </c>
      <c r="D4" t="n">
        <v>261.0962566844919</v>
      </c>
      <c r="E4" t="n">
        <v>0.6798245614035088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8" sqref="A8"/>
    </sheetView>
  </sheetViews>
  <sheetFormatPr baseColWidth="10" defaultRowHeight="16"/>
  <sheetData>
    <row r="1">
      <c r="A1" t="inlineStr">
        <is>
          <t>sample_id</t>
        </is>
      </c>
      <c r="B1" t="inlineStr">
        <is>
          <t>NK</t>
        </is>
      </c>
      <c r="C1" t="inlineStr">
        <is>
          <t>phi</t>
        </is>
      </c>
      <c r="D1" t="inlineStr">
        <is>
          <t>De</t>
        </is>
      </c>
      <c r="E1" t="inlineStr">
        <is>
          <t>Wie</t>
        </is>
      </c>
    </row>
    <row r="2">
      <c r="A2" t="inlineStr">
        <is>
          <t>C1</t>
        </is>
      </c>
      <c r="B2" t="n">
        <v>11185.98382749326</v>
      </c>
      <c r="C2" t="n">
        <v>0.004058242725264572</v>
      </c>
      <c r="D2" t="n">
        <v>6.643</v>
      </c>
      <c r="E2" t="n">
        <v>2.070159598607308</v>
      </c>
    </row>
    <row r="3">
      <c r="A3" t="inlineStr">
        <is>
          <t>C2</t>
        </is>
      </c>
      <c r="B3" t="n">
        <v>11185.98382749326</v>
      </c>
      <c r="C3" t="n">
        <v>0.005137016107929836</v>
      </c>
      <c r="D3" t="n">
        <v>6.654</v>
      </c>
      <c r="E3" t="n">
        <v>1.722606295041915</v>
      </c>
    </row>
    <row r="4">
      <c r="A4" t="inlineStr">
        <is>
          <t>C3</t>
        </is>
      </c>
      <c r="B4" t="n">
        <v>11185.98382749326</v>
      </c>
      <c r="C4" t="n">
        <v>0.01623297090105829</v>
      </c>
      <c r="D4" t="n">
        <v>6.766</v>
      </c>
      <c r="E4" t="n">
        <v>0.848541821697771</v>
      </c>
    </row>
    <row r="5">
      <c r="A5" t="inlineStr">
        <is>
          <t>C4</t>
        </is>
      </c>
      <c r="B5" t="n">
        <v>11185.98382749326</v>
      </c>
      <c r="C5" t="n">
        <v>0.05137016107929838</v>
      </c>
      <c r="D5" t="n">
        <v>7.131</v>
      </c>
      <c r="E5" t="n">
        <v>0.3839957602271327</v>
      </c>
    </row>
    <row r="6">
      <c r="A6" t="inlineStr">
        <is>
          <t>C5</t>
        </is>
      </c>
      <c r="B6" t="n">
        <v>11185.98382749326</v>
      </c>
      <c r="C6" t="n">
        <v>0.1623297090105829</v>
      </c>
      <c r="D6" t="n">
        <v>8.420999999999999</v>
      </c>
      <c r="E6" t="n">
        <v>0.1448353437782988</v>
      </c>
    </row>
    <row r="7">
      <c r="A7" t="inlineStr">
        <is>
          <t>C6</t>
        </is>
      </c>
      <c r="B7" t="n">
        <v>11185.98382749326</v>
      </c>
      <c r="C7" t="n">
        <v>0.5137016107929838</v>
      </c>
      <c r="D7" t="n">
        <v>14.254</v>
      </c>
      <c r="E7" t="n">
        <v>0.07916846886653518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I14" sqref="I14"/>
    </sheetView>
  </sheetViews>
  <sheetFormatPr baseColWidth="10" defaultRowHeight="16"/>
  <sheetData>
    <row r="1">
      <c r="A1" t="inlineStr">
        <is>
          <t>sample_id</t>
        </is>
      </c>
      <c r="B1" t="inlineStr">
        <is>
          <t>NK</t>
        </is>
      </c>
      <c r="C1" t="inlineStr">
        <is>
          <t>phi</t>
        </is>
      </c>
      <c r="D1" t="inlineStr">
        <is>
          <t>De</t>
        </is>
      </c>
      <c r="E1" t="inlineStr">
        <is>
          <t>Wie</t>
        </is>
      </c>
    </row>
    <row r="2">
      <c r="A2" t="inlineStr">
        <is>
          <t>VC1</t>
        </is>
      </c>
      <c r="B2" t="n">
        <v>9258.760107816712</v>
      </c>
      <c r="C2" t="n">
        <v>0.08937208546077482</v>
      </c>
      <c r="D2" t="n">
        <v>12.5605007124366</v>
      </c>
      <c r="E2" t="n">
        <v>0.5702497336590092</v>
      </c>
    </row>
    <row r="3">
      <c r="A3" t="inlineStr">
        <is>
          <t>VC1</t>
        </is>
      </c>
      <c r="B3" t="n">
        <v>9258.760107816712</v>
      </c>
      <c r="C3" t="n">
        <v>0.08937208546077482</v>
      </c>
      <c r="D3" t="n">
        <v>16.74733428324879</v>
      </c>
      <c r="E3" t="n">
        <v>0.5702497336590092</v>
      </c>
    </row>
    <row r="4">
      <c r="A4" t="inlineStr">
        <is>
          <t>VC1</t>
        </is>
      </c>
      <c r="B4" t="n">
        <v>9258.760107816712</v>
      </c>
      <c r="C4" t="n">
        <v>0.08937208546077482</v>
      </c>
      <c r="D4" t="n">
        <v>25.12100142487319</v>
      </c>
      <c r="E4" t="n">
        <v>0.6415309503663852</v>
      </c>
    </row>
    <row r="5">
      <c r="A5" t="inlineStr">
        <is>
          <t>VC2</t>
        </is>
      </c>
      <c r="B5" s="14" t="n">
        <v>9258.760107816712</v>
      </c>
      <c r="C5" t="n">
        <v>0.223430213651937</v>
      </c>
      <c r="D5" t="n">
        <v>12.56050071243662</v>
      </c>
      <c r="E5" t="n">
        <v>0.3665891144950781</v>
      </c>
    </row>
    <row r="6">
      <c r="A6" t="inlineStr">
        <is>
          <t>VC2</t>
        </is>
      </c>
      <c r="B6" s="14" t="n">
        <v>9258.760107816712</v>
      </c>
      <c r="C6" t="n">
        <v>0.223430213651937</v>
      </c>
      <c r="D6" t="n">
        <v>16.74733428324883</v>
      </c>
      <c r="E6" t="n">
        <v>0.3665891144950781</v>
      </c>
    </row>
    <row r="7">
      <c r="A7" t="inlineStr">
        <is>
          <t>VC2</t>
        </is>
      </c>
      <c r="B7" s="14" t="n">
        <v>9258.760107816712</v>
      </c>
      <c r="C7" t="n">
        <v>0.223430213651937</v>
      </c>
      <c r="D7" t="n">
        <v>25.12100142487325</v>
      </c>
      <c r="E7" t="n">
        <v>0.3665891144950781</v>
      </c>
    </row>
    <row r="8">
      <c r="A8" t="inlineStr">
        <is>
          <t>VC3</t>
        </is>
      </c>
      <c r="B8" t="n">
        <v>21785.71428571429</v>
      </c>
      <c r="C8" t="n">
        <v>0.03427294205905327</v>
      </c>
      <c r="D8" t="n">
        <v>45.33518688041222</v>
      </c>
      <c r="E8" t="n">
        <v>0.7882576533771056</v>
      </c>
    </row>
    <row r="9">
      <c r="A9" t="inlineStr">
        <is>
          <t>VC3</t>
        </is>
      </c>
      <c r="B9" t="n">
        <v>21785.71428571429</v>
      </c>
      <c r="C9" t="n">
        <v>0.03427294205905327</v>
      </c>
      <c r="D9" t="n">
        <v>60.44691584054963</v>
      </c>
      <c r="E9" t="n">
        <v>0.7718356189317492</v>
      </c>
    </row>
    <row r="10">
      <c r="A10" t="inlineStr">
        <is>
          <t>VC3</t>
        </is>
      </c>
      <c r="B10" t="n">
        <v>21785.71428571429</v>
      </c>
      <c r="C10" t="n">
        <v>0.03427294205905327</v>
      </c>
      <c r="D10" t="n">
        <v>90.67037376082445</v>
      </c>
      <c r="E10" t="n">
        <v>0.8232913268605325</v>
      </c>
    </row>
    <row r="11">
      <c r="A11" t="inlineStr">
        <is>
          <t>VC4</t>
        </is>
      </c>
      <c r="B11" t="n">
        <v>21785.71428571429</v>
      </c>
      <c r="C11" t="n">
        <v>0.06854588411810654</v>
      </c>
      <c r="D11" t="n">
        <v>45.33518688041222</v>
      </c>
      <c r="E11" t="n">
        <v>0.4811442819314801</v>
      </c>
    </row>
    <row r="12">
      <c r="A12" t="inlineStr">
        <is>
          <t>VC4</t>
        </is>
      </c>
      <c r="B12" t="n">
        <v>21785.71428571429</v>
      </c>
      <c r="C12" t="n">
        <v>0.06854588411810654</v>
      </c>
      <c r="D12" t="n">
        <v>60.44691584054963</v>
      </c>
      <c r="E12" t="n">
        <v>0.4749757654964611</v>
      </c>
    </row>
    <row r="13">
      <c r="A13" t="inlineStr">
        <is>
          <t>VC4</t>
        </is>
      </c>
      <c r="B13" t="n">
        <v>21785.71428571429</v>
      </c>
      <c r="C13" t="n">
        <v>0.06854588411810654</v>
      </c>
      <c r="D13" t="n">
        <v>90.67037376082445</v>
      </c>
      <c r="E13" t="n">
        <v>0.5448251427753524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9"/>
  <sheetViews>
    <sheetView topLeftCell="A35" zoomScale="118" workbookViewId="0">
      <selection activeCell="F50" sqref="F50"/>
    </sheetView>
  </sheetViews>
  <sheetFormatPr baseColWidth="10" defaultRowHeight="16"/>
  <cols>
    <col width="18.5" customWidth="1" style="13" min="1" max="1"/>
    <col width="16" customWidth="1" style="13" min="7" max="7"/>
  </cols>
  <sheetData>
    <row r="1">
      <c r="A1" s="5" t="inlineStr">
        <is>
          <t>Fig. 5 A</t>
        </is>
      </c>
    </row>
    <row r="2">
      <c r="C2" t="inlineStr">
        <is>
          <t>PEO_visc</t>
        </is>
      </c>
    </row>
    <row r="3">
      <c r="A3" t="inlineStr">
        <is>
          <t>Mw</t>
        </is>
      </c>
      <c r="C3" s="14" t="n">
        <v>4000000</v>
      </c>
      <c r="D3" t="inlineStr">
        <is>
          <t>From paper</t>
        </is>
      </c>
      <c r="K3" s="14" t="n"/>
    </row>
    <row r="4">
      <c r="A4" t="inlineStr">
        <is>
          <t>c (ppm = mg/kg)</t>
        </is>
      </c>
      <c r="C4" t="n">
        <v>25</v>
      </c>
      <c r="D4" t="inlineStr">
        <is>
          <t>From paper</t>
        </is>
      </c>
    </row>
    <row r="5">
      <c r="A5" t="inlineStr">
        <is>
          <t>rho (kg/cu.m)</t>
        </is>
      </c>
      <c r="C5" t="n">
        <v>1048</v>
      </c>
      <c r="D5" t="inlineStr">
        <is>
          <t>From paper</t>
        </is>
      </c>
    </row>
    <row r="6">
      <c r="A6" t="inlineStr">
        <is>
          <t>c (g/cu.m)</t>
        </is>
      </c>
      <c r="C6">
        <f>C4/1000*C5</f>
        <v/>
      </c>
    </row>
    <row r="7">
      <c r="A7" t="inlineStr">
        <is>
          <t>eta_p (Pa s)</t>
        </is>
      </c>
      <c r="C7" s="14" t="n">
        <v>0.0033</v>
      </c>
      <c r="D7" t="inlineStr">
        <is>
          <t>From paper</t>
        </is>
      </c>
      <c r="K7" s="14" t="n"/>
    </row>
    <row r="8">
      <c r="A8" t="inlineStr">
        <is>
          <t>lambda_eta (ms)</t>
        </is>
      </c>
      <c r="C8" s="14">
        <f>C7/(C6/C3*6.023E+23*1.380649E-23*298)*1000</f>
        <v/>
      </c>
      <c r="K8" s="14" t="n"/>
    </row>
    <row r="9">
      <c r="A9" t="inlineStr">
        <is>
          <t>lambda_1 (ms)</t>
        </is>
      </c>
      <c r="C9" s="14">
        <f>C8/1.835</f>
        <v/>
      </c>
      <c r="D9" t="inlineStr">
        <is>
          <t>Uses U_eta lambda value from Kroeger et al, JCP, 2000</t>
        </is>
      </c>
      <c r="H9" s="14" t="n"/>
      <c r="K9" s="14" t="n"/>
    </row>
    <row r="10">
      <c r="A10" t="inlineStr">
        <is>
          <t>eta_0 (Pa s)</t>
        </is>
      </c>
      <c r="C10" s="14" t="n">
        <v>0.248</v>
      </c>
      <c r="D10" t="inlineStr">
        <is>
          <t>From paper</t>
        </is>
      </c>
      <c r="K10" s="14" t="n"/>
    </row>
    <row r="11">
      <c r="A11" t="inlineStr">
        <is>
          <t>eta_s (Pas)</t>
        </is>
      </c>
      <c r="C11" s="14">
        <f>C10-C7</f>
        <v/>
      </c>
      <c r="K11" s="14" t="n"/>
    </row>
    <row r="12">
      <c r="A12" t="inlineStr">
        <is>
          <t>sigma (N/m)</t>
        </is>
      </c>
      <c r="C12" s="14" t="n">
        <v>0.056</v>
      </c>
      <c r="K12" s="14" t="n"/>
    </row>
    <row r="13">
      <c r="A13" t="inlineStr">
        <is>
          <t>c/c*</t>
        </is>
      </c>
      <c r="C13" s="14" t="n">
        <v>0.02</v>
      </c>
      <c r="D13" t="inlineStr">
        <is>
          <t>From paper - claculated using Graessley's estimate for polymers in good solvents</t>
        </is>
      </c>
      <c r="K13" s="14" t="n"/>
    </row>
    <row r="14">
      <c r="A14" t="inlineStr">
        <is>
          <t>NK</t>
        </is>
      </c>
      <c r="C14" s="14">
        <f>C3/137</f>
        <v/>
      </c>
      <c r="D14" s="11" t="inlineStr">
        <is>
          <t>MK = 137 from Hao-Yy et al. J. Rheol., 2025; Rubinstein &amp; Colby</t>
        </is>
      </c>
      <c r="K14" s="14" t="n"/>
    </row>
    <row r="15">
      <c r="C15" t="inlineStr">
        <is>
          <t>h0 (mu-m)</t>
        </is>
      </c>
      <c r="D15" t="inlineStr">
        <is>
          <t>tau_e (ms)</t>
        </is>
      </c>
      <c r="E15" t="inlineStr">
        <is>
          <t>Oh0</t>
        </is>
      </c>
      <c r="F15" t="inlineStr">
        <is>
          <t>De_v</t>
        </is>
      </c>
      <c r="G15" t="inlineStr">
        <is>
          <t>Wi_e</t>
        </is>
      </c>
      <c r="H15" t="inlineStr">
        <is>
          <t>h1 (mu-m)</t>
        </is>
      </c>
      <c r="I15" t="inlineStr">
        <is>
          <t>R_ve</t>
        </is>
      </c>
      <c r="J15" t="inlineStr">
        <is>
          <t>De_ve (visc)</t>
        </is>
      </c>
    </row>
    <row r="16">
      <c r="B16" t="inlineStr">
        <is>
          <t>From Fig 2a</t>
        </is>
      </c>
      <c r="C16" t="n">
        <v>257.88022</v>
      </c>
      <c r="D16" t="n">
        <v>15.40862</v>
      </c>
      <c r="E16" s="14">
        <f>$C$11/($C$5*$C$12*C16*0.000001)</f>
        <v/>
      </c>
      <c r="F16" s="14">
        <f>$C$9*0.001/($C$11*C16*0.000001/$C$12)</f>
        <v/>
      </c>
      <c r="G16" s="14">
        <f>2/3*$C$9/D16</f>
        <v/>
      </c>
      <c r="H16">
        <f>$C$38*C16</f>
        <v/>
      </c>
      <c r="I16">
        <f>H16/C16</f>
        <v/>
      </c>
      <c r="J16">
        <f>F16/I16</f>
        <v/>
      </c>
    </row>
    <row r="17">
      <c r="B17" t="inlineStr">
        <is>
          <t>From Fig 2a</t>
        </is>
      </c>
      <c r="C17" t="n">
        <v>282.56528</v>
      </c>
      <c r="D17" t="n">
        <v>26.118109</v>
      </c>
      <c r="E17" s="14">
        <f>$C$11/($C$5*$C$12*C17*0.000001)</f>
        <v/>
      </c>
      <c r="F17" s="14">
        <f>$C$9*0.001/($C$11*C17*0.000001/$C$12)</f>
        <v/>
      </c>
      <c r="G17" s="14">
        <f>2/3*$C$9/D17</f>
        <v/>
      </c>
      <c r="H17">
        <f>$C$38*C17</f>
        <v/>
      </c>
      <c r="I17">
        <f>H17/C17</f>
        <v/>
      </c>
      <c r="J17">
        <f>F17/I17</f>
        <v/>
      </c>
    </row>
    <row r="18">
      <c r="B18" t="inlineStr">
        <is>
          <t>From Fig 2a</t>
        </is>
      </c>
      <c r="C18" t="n">
        <v>329.47986</v>
      </c>
      <c r="D18" t="n">
        <v>17.687658</v>
      </c>
      <c r="E18" s="14">
        <f>$C$11/($C$5*$C$12*C18*0.000001)</f>
        <v/>
      </c>
      <c r="F18" s="14">
        <f>$C$9*0.001/($C$11*C18*0.000001/$C$12)</f>
        <v/>
      </c>
      <c r="G18" s="14">
        <f>2/3*$C$9/D18</f>
        <v/>
      </c>
      <c r="H18">
        <f>$C$38*C18</f>
        <v/>
      </c>
      <c r="I18">
        <f>H18/C18</f>
        <v/>
      </c>
      <c r="J18">
        <f>F18/I18</f>
        <v/>
      </c>
    </row>
    <row r="19">
      <c r="B19" t="inlineStr">
        <is>
          <t>From Fig 2a</t>
        </is>
      </c>
      <c r="C19" t="n">
        <v>431.1312</v>
      </c>
      <c r="D19" t="n">
        <v>18.208508</v>
      </c>
      <c r="E19" s="14">
        <f>$C$11/($C$5*$C$12*C19*0.000001)</f>
        <v/>
      </c>
      <c r="F19" s="14">
        <f>$C$9*0.001/($C$11*C19*0.000001/$C$12)</f>
        <v/>
      </c>
      <c r="G19" s="14">
        <f>2/3*$C$9/D19</f>
        <v/>
      </c>
      <c r="H19">
        <f>$C$38*C19</f>
        <v/>
      </c>
      <c r="I19">
        <f>H19/C19</f>
        <v/>
      </c>
      <c r="J19">
        <f>F19/I19</f>
        <v/>
      </c>
    </row>
    <row r="20">
      <c r="B20" t="inlineStr">
        <is>
          <t>From Fig 2a</t>
        </is>
      </c>
      <c r="C20" t="n">
        <v>459.33105</v>
      </c>
      <c r="D20" t="n">
        <v>22.74727</v>
      </c>
      <c r="E20" s="14">
        <f>$C$11/($C$5*$C$12*C20*0.000001)</f>
        <v/>
      </c>
      <c r="F20" s="14">
        <f>$C$9*0.001/($C$11*C20*0.000001/$C$12)</f>
        <v/>
      </c>
      <c r="G20" s="14">
        <f>2/3*$C$9/D20</f>
        <v/>
      </c>
      <c r="H20">
        <f>$C$38*C20</f>
        <v/>
      </c>
      <c r="I20">
        <f>H20/C20</f>
        <v/>
      </c>
      <c r="J20">
        <f>F20/I20</f>
        <v/>
      </c>
    </row>
    <row r="21">
      <c r="B21" t="inlineStr">
        <is>
          <t>From Fig 2a</t>
        </is>
      </c>
      <c r="C21" t="n">
        <v>507.54565</v>
      </c>
      <c r="D21" t="n">
        <v>26.785614</v>
      </c>
      <c r="E21" s="14">
        <f>$C$11/($C$5*$C$12*C21*0.000001)</f>
        <v/>
      </c>
      <c r="F21" s="14">
        <f>$C$9*0.001/($C$11*C21*0.000001/$C$12)</f>
        <v/>
      </c>
      <c r="G21" s="14">
        <f>2/3*$C$9/D21</f>
        <v/>
      </c>
      <c r="H21">
        <f>$C$38*C21</f>
        <v/>
      </c>
      <c r="I21">
        <f>H21/C21</f>
        <v/>
      </c>
      <c r="J21">
        <f>F21/I21</f>
        <v/>
      </c>
    </row>
    <row r="22">
      <c r="B22" t="inlineStr">
        <is>
          <t>From Fig 2a</t>
        </is>
      </c>
      <c r="C22" t="n">
        <v>590.70447</v>
      </c>
      <c r="D22" t="n">
        <v>32.719</v>
      </c>
      <c r="E22" s="14">
        <f>$C$11/($C$5*$C$12*C22*0.000001)</f>
        <v/>
      </c>
      <c r="F22" s="14">
        <f>$C$9*0.001/($C$11*C22*0.000001/$C$12)</f>
        <v/>
      </c>
      <c r="G22" s="14">
        <f>2/3*$C$9/D22</f>
        <v/>
      </c>
      <c r="H22">
        <f>$C$38*C22</f>
        <v/>
      </c>
      <c r="I22">
        <f>H22/C22</f>
        <v/>
      </c>
      <c r="J22">
        <f>F22/I22</f>
        <v/>
      </c>
    </row>
    <row r="23">
      <c r="B23" t="inlineStr">
        <is>
          <t>From Fig 2a</t>
        </is>
      </c>
      <c r="C23" t="n">
        <v>707.3854</v>
      </c>
      <c r="D23" t="n">
        <v>32.234818</v>
      </c>
      <c r="E23" s="14">
        <f>$C$11/($C$5*$C$12*C23*0.000001)</f>
        <v/>
      </c>
      <c r="F23" s="14">
        <f>$C$9*0.001/($C$11*C23*0.000001/$C$12)</f>
        <v/>
      </c>
      <c r="G23" s="14">
        <f>2/3*$C$9/D23</f>
        <v/>
      </c>
      <c r="H23">
        <f>$C$38*C23</f>
        <v/>
      </c>
      <c r="I23">
        <f>H23/C23</f>
        <v/>
      </c>
      <c r="J23">
        <f>F23/I23</f>
        <v/>
      </c>
    </row>
    <row r="24">
      <c r="B24" t="inlineStr">
        <is>
          <t>From Fig 2a</t>
        </is>
      </c>
      <c r="C24" t="n">
        <v>838.92175</v>
      </c>
      <c r="D24" t="n">
        <v>36.664986</v>
      </c>
      <c r="E24" s="14">
        <f>$C$11/($C$5*$C$12*C24*0.000001)</f>
        <v/>
      </c>
      <c r="F24" s="14">
        <f>$C$9*0.001/($C$11*C24*0.000001/$C$12)</f>
        <v/>
      </c>
      <c r="G24" s="14">
        <f>2/3*$C$9/D24</f>
        <v/>
      </c>
      <c r="H24">
        <f>$C$38*C24</f>
        <v/>
      </c>
      <c r="I24">
        <f>H24/C24</f>
        <v/>
      </c>
      <c r="J24">
        <f>F24/I24</f>
        <v/>
      </c>
    </row>
    <row r="25">
      <c r="B25" t="inlineStr">
        <is>
          <t>From Fig 2a</t>
        </is>
      </c>
      <c r="C25" t="n">
        <v>850.64764</v>
      </c>
      <c r="D25" t="n">
        <v>34.651833</v>
      </c>
      <c r="E25" s="14">
        <f>$C$11/($C$5*$C$12*C25*0.000001)</f>
        <v/>
      </c>
      <c r="F25" s="14">
        <f>$C$9*0.001/($C$11*C25*0.000001/$C$12)</f>
        <v/>
      </c>
      <c r="G25" s="14">
        <f>2/3*$C$9/D25</f>
        <v/>
      </c>
      <c r="H25">
        <f>$C$38*C25</f>
        <v/>
      </c>
      <c r="I25">
        <f>H25/C25</f>
        <v/>
      </c>
      <c r="J25">
        <f>F25/I25</f>
        <v/>
      </c>
    </row>
    <row r="26">
      <c r="B26" t="inlineStr">
        <is>
          <t>From Fig 2a</t>
        </is>
      </c>
      <c r="C26" t="n">
        <v>1142.1499</v>
      </c>
      <c r="D26" t="n">
        <v>40.242374</v>
      </c>
      <c r="E26" s="14">
        <f>$C$11/($C$5*$C$12*C26*0.000001)</f>
        <v/>
      </c>
      <c r="F26" s="14">
        <f>$C$9*0.001/($C$11*C26*0.000001/$C$12)</f>
        <v/>
      </c>
      <c r="G26" s="14">
        <f>2/3*$C$9/D26</f>
        <v/>
      </c>
      <c r="H26">
        <f>$C$38*C26</f>
        <v/>
      </c>
      <c r="I26">
        <f>H26/C26</f>
        <v/>
      </c>
      <c r="J26">
        <f>F26/I26</f>
        <v/>
      </c>
    </row>
    <row r="27">
      <c r="B27" t="inlineStr">
        <is>
          <t>From Fig 2a</t>
        </is>
      </c>
      <c r="C27" t="n">
        <v>1360.3489</v>
      </c>
      <c r="D27" t="n">
        <v>44.81304</v>
      </c>
      <c r="E27" s="14">
        <f>$C$11/($C$5*$C$12*C27*0.000001)</f>
        <v/>
      </c>
      <c r="F27" s="14">
        <f>$C$9*0.001/($C$11*C27*0.000001/$C$12)</f>
        <v/>
      </c>
      <c r="G27" s="14">
        <f>2/3*$C$9/D27</f>
        <v/>
      </c>
      <c r="H27">
        <f>$C$38*C27</f>
        <v/>
      </c>
      <c r="I27">
        <f>H27/C27</f>
        <v/>
      </c>
      <c r="J27">
        <f>F27/I27</f>
        <v/>
      </c>
    </row>
    <row r="28">
      <c r="B28" t="inlineStr">
        <is>
          <t>From Fig. 2b</t>
        </is>
      </c>
      <c r="C28" s="2" t="n">
        <v>271.49048</v>
      </c>
      <c r="D28" s="2" t="n">
        <v>18.882217</v>
      </c>
      <c r="E28" s="14">
        <f>$C$11/($C$5*$C$12*C28*0.000001)</f>
        <v/>
      </c>
      <c r="F28" s="14">
        <f>$C$9*0.001/($C$11*C28*0.000001/$C$12)</f>
        <v/>
      </c>
      <c r="G28" s="14">
        <f>2/3*$C$9/D28</f>
        <v/>
      </c>
      <c r="H28">
        <f>$C$38*C28</f>
        <v/>
      </c>
      <c r="I28">
        <f>H28/C28</f>
        <v/>
      </c>
      <c r="J28">
        <f>F28/I28</f>
        <v/>
      </c>
    </row>
    <row r="29">
      <c r="B29" t="inlineStr">
        <is>
          <t>From Fig. 2b</t>
        </is>
      </c>
      <c r="C29" s="2" t="n">
        <v>465.45264</v>
      </c>
      <c r="D29" s="2" t="n">
        <v>30.215885</v>
      </c>
      <c r="E29" s="14">
        <f>$C$11/($C$5*$C$12*C29*0.000001)</f>
        <v/>
      </c>
      <c r="F29" s="14">
        <f>$C$9*0.001/($C$11*C29*0.000001/$C$12)</f>
        <v/>
      </c>
      <c r="G29" s="14">
        <f>2/3*$C$9/D29</f>
        <v/>
      </c>
      <c r="H29">
        <f>$C$38*C29</f>
        <v/>
      </c>
      <c r="I29">
        <f>H29/C29</f>
        <v/>
      </c>
      <c r="J29">
        <f>F29/I29</f>
        <v/>
      </c>
    </row>
    <row r="30">
      <c r="B30" t="inlineStr">
        <is>
          <t>From Fig. 2b</t>
        </is>
      </c>
      <c r="C30" s="2" t="n">
        <v>649.7061</v>
      </c>
      <c r="D30" s="2" t="n">
        <v>41.5482</v>
      </c>
      <c r="E30" s="14">
        <f>$C$11/($C$5*$C$12*C30*0.000001)</f>
        <v/>
      </c>
      <c r="F30" s="14">
        <f>$C$9*0.001/($C$11*C30*0.000001/$C$12)</f>
        <v/>
      </c>
      <c r="G30" s="14">
        <f>2/3*$C$9/D30</f>
        <v/>
      </c>
      <c r="H30">
        <f>$C$38*C30</f>
        <v/>
      </c>
      <c r="I30">
        <f>H30/C30</f>
        <v/>
      </c>
      <c r="J30">
        <f>F30/I30</f>
        <v/>
      </c>
    </row>
    <row r="31">
      <c r="B31" t="inlineStr">
        <is>
          <t>From Fig. 2b</t>
        </is>
      </c>
      <c r="C31" s="2" t="n">
        <v>1052.3977</v>
      </c>
      <c r="D31" s="2" t="n">
        <v>53.329765</v>
      </c>
      <c r="E31" s="14">
        <f>$C$11/($C$5*$C$12*C31*0.000001)</f>
        <v/>
      </c>
      <c r="F31" s="14">
        <f>$C$9*0.001/($C$11*C31*0.000001/$C$12)</f>
        <v/>
      </c>
      <c r="G31" s="14">
        <f>2/3*$C$9/D31</f>
        <v/>
      </c>
      <c r="H31">
        <f>$C$38*C31</f>
        <v/>
      </c>
      <c r="I31">
        <f>H31/C31</f>
        <v/>
      </c>
      <c r="J31">
        <f>F31/I31</f>
        <v/>
      </c>
    </row>
    <row r="32">
      <c r="B32" t="inlineStr">
        <is>
          <t>From Fig. 2b</t>
        </is>
      </c>
      <c r="C32" s="2" t="n">
        <v>1367.7031</v>
      </c>
      <c r="D32" s="2" t="n">
        <v>65.5179</v>
      </c>
      <c r="E32" s="14">
        <f>$C$11/($C$5*$C$12*C32*0.000001)</f>
        <v/>
      </c>
      <c r="F32" s="14">
        <f>$C$9*0.001/($C$11*C32*0.000001/$C$12)</f>
        <v/>
      </c>
      <c r="G32" s="14">
        <f>2/3*$C$9/D32</f>
        <v/>
      </c>
      <c r="H32">
        <f>$C$38*C32</f>
        <v/>
      </c>
      <c r="I32">
        <f>H32/C32</f>
        <v/>
      </c>
      <c r="J32">
        <f>F32/I32</f>
        <v/>
      </c>
    </row>
    <row r="33">
      <c r="B33" t="inlineStr">
        <is>
          <t>From Fig. 2b</t>
        </is>
      </c>
      <c r="C33" s="2" t="n">
        <v>1620.0197</v>
      </c>
      <c r="D33" s="2" t="n">
        <v>71.41579400000001</v>
      </c>
      <c r="E33" s="14">
        <f>$C$11/($C$5*$C$12*C33*0.000001)</f>
        <v/>
      </c>
      <c r="F33" s="14">
        <f>$C$9*0.001/($C$11*C33*0.000001/$C$12)</f>
        <v/>
      </c>
      <c r="G33" s="14">
        <f>2/3*$C$9/D33</f>
        <v/>
      </c>
      <c r="H33">
        <f>$C$38*C33</f>
        <v/>
      </c>
      <c r="I33">
        <f>H33/C33</f>
        <v/>
      </c>
      <c r="J33">
        <f>F33/I33</f>
        <v/>
      </c>
    </row>
    <row r="34">
      <c r="B34" t="inlineStr">
        <is>
          <t>From Fig. 2b</t>
        </is>
      </c>
      <c r="C34" s="2" t="n">
        <v>1920.864</v>
      </c>
      <c r="D34" s="2" t="n">
        <v>78.15799</v>
      </c>
      <c r="E34" s="14">
        <f>$C$11/($C$5*$C$12*C34*0.000001)</f>
        <v/>
      </c>
      <c r="F34" s="14">
        <f>$C$9*0.001/($C$11*C34*0.000001/$C$12)</f>
        <v/>
      </c>
      <c r="G34" s="14">
        <f>2/3*$C$9/D34</f>
        <v/>
      </c>
      <c r="H34">
        <f>$C$38*C34</f>
        <v/>
      </c>
      <c r="I34">
        <f>H34/C34</f>
        <v/>
      </c>
      <c r="J34">
        <f>F34/I34</f>
        <v/>
      </c>
    </row>
    <row r="35">
      <c r="B35" t="inlineStr">
        <is>
          <t>From Fig. 2b</t>
        </is>
      </c>
      <c r="C35" s="2" t="n">
        <v>2338.1267</v>
      </c>
      <c r="D35" s="2" t="n">
        <v>89.52283</v>
      </c>
      <c r="E35" s="14">
        <f>$C$11/($C$5*$C$12*C35*0.000001)</f>
        <v/>
      </c>
      <c r="F35" s="14">
        <f>$C$9*0.001/($C$11*C35*0.000001/$C$12)</f>
        <v/>
      </c>
      <c r="G35" s="14">
        <f>2/3*$C$9/D35</f>
        <v/>
      </c>
      <c r="H35">
        <f>$C$38*C35</f>
        <v/>
      </c>
      <c r="I35">
        <f>H35/C35</f>
        <v/>
      </c>
      <c r="J35">
        <f>F35/I35</f>
        <v/>
      </c>
    </row>
    <row r="36">
      <c r="B36" t="inlineStr">
        <is>
          <t>From Fig. 2b</t>
        </is>
      </c>
      <c r="C36" s="2" t="n">
        <v>2847.677</v>
      </c>
      <c r="D36" s="2" t="n">
        <v>97.96921</v>
      </c>
      <c r="E36" s="14">
        <f>$C$11/($C$5*$C$12*C36*0.000001)</f>
        <v/>
      </c>
      <c r="F36" s="14">
        <f>$C$9*0.001/($C$11*C36*0.000001/$C$12)</f>
        <v/>
      </c>
      <c r="G36" s="14">
        <f>2/3*$C$9/D36</f>
        <v/>
      </c>
      <c r="H36">
        <f>$C$38*C36</f>
        <v/>
      </c>
      <c r="I36">
        <f>H36/C36</f>
        <v/>
      </c>
      <c r="J36">
        <f>F36/I36</f>
        <v/>
      </c>
    </row>
    <row r="38">
      <c r="A38" t="inlineStr">
        <is>
          <t>R_ve (PEO_visc) from 2025 Fig 4b (~const)</t>
        </is>
      </c>
      <c r="C38" t="n">
        <v>0.063</v>
      </c>
      <c r="D38" t="inlineStr">
        <is>
          <t>2025 Fig 4b squares, mean h1/h0</t>
        </is>
      </c>
    </row>
    <row r="40">
      <c r="A40" s="12" t="inlineStr">
        <is>
          <t>PEO_aq  (4M PEO in water, Gaillard 2025 conc. series; 2R0=3.5mm, h0~460um)</t>
        </is>
      </c>
    </row>
    <row r="42">
      <c r="B42" t="inlineStr">
        <is>
          <t>Mw</t>
        </is>
      </c>
      <c r="C42" t="n">
        <v>4000000</v>
      </c>
    </row>
    <row r="43">
      <c r="B43" t="inlineStr">
        <is>
          <t>rho (kg/cu.m)</t>
        </is>
      </c>
      <c r="C43" t="n">
        <v>998</v>
      </c>
    </row>
    <row r="44">
      <c r="B44" t="inlineStr">
        <is>
          <t>eta_s (Pas)</t>
        </is>
      </c>
      <c r="C44" t="n">
        <v>0.00092</v>
      </c>
      <c r="D44" t="inlineStr">
        <is>
          <t>water</t>
        </is>
      </c>
    </row>
    <row r="45">
      <c r="B45" t="inlineStr">
        <is>
          <t>h0 (um)</t>
        </is>
      </c>
      <c r="C45" t="n">
        <v>460</v>
      </c>
      <c r="D45" t="inlineStr">
        <is>
          <t>2R0=3.5mm, V*~2.4</t>
        </is>
      </c>
    </row>
    <row r="46">
      <c r="B46" t="inlineStr">
        <is>
          <t>T (K)</t>
        </is>
      </c>
      <c r="C46" t="n">
        <v>298</v>
      </c>
    </row>
    <row r="47">
      <c r="B47" t="inlineStr">
        <is>
          <t>U_eta (lam_eta/lam_1)</t>
        </is>
      </c>
      <c r="C47" t="n">
        <v>1.835</v>
      </c>
      <c r="D47" t="inlineStr">
        <is>
          <t>Kroeger 2000</t>
        </is>
      </c>
    </row>
    <row r="49">
      <c r="B49" s="12" t="inlineStr">
        <is>
          <t>c (ppm)</t>
        </is>
      </c>
      <c r="C49" s="12" t="inlineStr">
        <is>
          <t>c/c*</t>
        </is>
      </c>
      <c r="D49" s="12" t="inlineStr">
        <is>
          <t>sigma (N/m)</t>
        </is>
      </c>
      <c r="E49" s="12" t="inlineStr">
        <is>
          <t>eta_p (Pas)</t>
        </is>
      </c>
      <c r="F49" s="12" t="inlineStr">
        <is>
          <t>lambda_eta (ms)</t>
        </is>
      </c>
      <c r="G49" s="12" t="inlineStr">
        <is>
          <t>lambda_1 (ms)</t>
        </is>
      </c>
      <c r="H49" s="12" t="inlineStr">
        <is>
          <t>tau_e (ms)</t>
        </is>
      </c>
      <c r="I49" s="12" t="inlineStr">
        <is>
          <t>h1 (um)</t>
        </is>
      </c>
      <c r="J49" s="12" t="inlineStr">
        <is>
          <t>h0 (um)</t>
        </is>
      </c>
      <c r="K49" s="12" t="inlineStr">
        <is>
          <t>R_ve</t>
        </is>
      </c>
      <c r="L49" s="12" t="inlineStr">
        <is>
          <t>Oh</t>
        </is>
      </c>
      <c r="M49" s="12" t="inlineStr">
        <is>
          <t>lambda_v (ms)</t>
        </is>
      </c>
      <c r="N49" s="12" t="inlineStr">
        <is>
          <t>lambda_R (ms)</t>
        </is>
      </c>
      <c r="O49" s="12" t="inlineStr">
        <is>
          <t>De_0_v</t>
        </is>
      </c>
      <c r="P49" s="12" t="inlineStr">
        <is>
          <t>De_0_R</t>
        </is>
      </c>
      <c r="Q49" s="12" t="inlineStr">
        <is>
          <t>De_ve_v</t>
        </is>
      </c>
      <c r="R49" s="12" t="inlineStr">
        <is>
          <t>De_ve_R</t>
        </is>
      </c>
      <c r="S49" s="12" t="inlineStr">
        <is>
          <t>edot (1/s)</t>
        </is>
      </c>
      <c r="T49" s="12" t="inlineStr">
        <is>
          <t>Wi_e</t>
        </is>
      </c>
    </row>
    <row r="50">
      <c r="B50" t="n">
        <v>5</v>
      </c>
      <c r="C50" t="n">
        <v>0.019</v>
      </c>
      <c r="D50" t="n">
        <v>0.07199999999999999</v>
      </c>
      <c r="E50" t="n">
        <v>1.3e-05</v>
      </c>
      <c r="F50">
        <f>E50/((B50/1000*$C$43)/$C$42*6.023E+23*1.380649E-23*$C$46)*1000</f>
        <v/>
      </c>
      <c r="G50">
        <f>F50/$C$47</f>
        <v/>
      </c>
      <c r="H50" t="n">
        <v>0.1</v>
      </c>
      <c r="I50" t="n">
        <v>21.6</v>
      </c>
      <c r="J50">
        <f>$C$45</f>
        <v/>
      </c>
      <c r="K50">
        <f>I50/J50</f>
        <v/>
      </c>
      <c r="L50">
        <f>$C$44/SQRT($C$43*D50*J50*0.000001)</f>
        <v/>
      </c>
      <c r="M50">
        <f>$C$44*J50*0.000001/D50*1000</f>
        <v/>
      </c>
      <c r="N50">
        <f>SQRT($C$43*(J50*0.000001)^3/D50)*1000</f>
        <v/>
      </c>
      <c r="O50">
        <f>G50/M50</f>
        <v/>
      </c>
      <c r="P50">
        <f>G50/N50</f>
        <v/>
      </c>
      <c r="Q50">
        <f>O50/K50</f>
        <v/>
      </c>
      <c r="R50">
        <f>P50/K50^1.5</f>
        <v/>
      </c>
      <c r="S50">
        <f>2/(3*H50*0.001)</f>
        <v/>
      </c>
      <c r="T50">
        <f>S50*G50*0.001</f>
        <v/>
      </c>
    </row>
    <row r="51">
      <c r="B51" t="n">
        <v>10</v>
      </c>
      <c r="C51" t="n">
        <v>0.037</v>
      </c>
      <c r="D51" t="n">
        <v>0.07199999999999999</v>
      </c>
      <c r="E51" t="n">
        <v>2e-05</v>
      </c>
      <c r="F51">
        <f>E51/((B51/1000*$C$43)/$C$42*6.023E+23*1.380649E-23*$C$46)*1000</f>
        <v/>
      </c>
      <c r="G51">
        <f>F51/$C$47</f>
        <v/>
      </c>
      <c r="H51" t="n">
        <v>0.39</v>
      </c>
      <c r="I51" t="n">
        <v>31.3</v>
      </c>
      <c r="J51">
        <f>$C$45</f>
        <v/>
      </c>
      <c r="K51">
        <f>I51/J51</f>
        <v/>
      </c>
      <c r="L51">
        <f>$C$44/SQRT($C$43*D51*J51*0.000001)</f>
        <v/>
      </c>
      <c r="M51">
        <f>$C$44*J51*0.000001/D51*1000</f>
        <v/>
      </c>
      <c r="N51">
        <f>SQRT($C$43*(J51*0.000001)^3/D51)*1000</f>
        <v/>
      </c>
      <c r="O51">
        <f>G51/M51</f>
        <v/>
      </c>
      <c r="P51">
        <f>G51/N51</f>
        <v/>
      </c>
      <c r="Q51">
        <f>O51/K51</f>
        <v/>
      </c>
      <c r="R51">
        <f>P51/K51^1.5</f>
        <v/>
      </c>
      <c r="S51">
        <f>2/(3*H51*0.001)</f>
        <v/>
      </c>
      <c r="T51">
        <f>S51*G51*0.001</f>
        <v/>
      </c>
    </row>
    <row r="52">
      <c r="B52" t="n">
        <v>25</v>
      </c>
      <c r="C52" t="n">
        <v>0.093</v>
      </c>
      <c r="D52" t="n">
        <v>0.0634</v>
      </c>
      <c r="E52" t="n">
        <v>6.499999999999999e-05</v>
      </c>
      <c r="F52">
        <f>E52/((B52/1000*$C$43)/$C$42*6.023E+23*1.380649E-23*$C$46)*1000</f>
        <v/>
      </c>
      <c r="G52">
        <f>F52/$C$47</f>
        <v/>
      </c>
      <c r="H52" t="n">
        <v>1.4</v>
      </c>
      <c r="I52" t="n">
        <v>37.3</v>
      </c>
      <c r="J52">
        <f>$C$45</f>
        <v/>
      </c>
      <c r="K52">
        <f>I52/J52</f>
        <v/>
      </c>
      <c r="L52">
        <f>$C$44/SQRT($C$43*D52*J52*0.000001)</f>
        <v/>
      </c>
      <c r="M52">
        <f>$C$44*J52*0.000001/D52*1000</f>
        <v/>
      </c>
      <c r="N52">
        <f>SQRT($C$43*(J52*0.000001)^3/D52)*1000</f>
        <v/>
      </c>
      <c r="O52">
        <f>G52/M52</f>
        <v/>
      </c>
      <c r="P52">
        <f>G52/N52</f>
        <v/>
      </c>
      <c r="Q52">
        <f>O52/K52</f>
        <v/>
      </c>
      <c r="R52">
        <f>P52/K52^1.5</f>
        <v/>
      </c>
      <c r="S52">
        <f>2/(3*H52*0.001)</f>
        <v/>
      </c>
      <c r="T52">
        <f>S52*G52*0.001</f>
        <v/>
      </c>
    </row>
    <row r="53">
      <c r="B53" t="n">
        <v>50</v>
      </c>
      <c r="C53" t="n">
        <v>0.19</v>
      </c>
      <c r="D53" t="n">
        <v>0.06279999999999999</v>
      </c>
      <c r="E53" t="n">
        <v>0.00012</v>
      </c>
      <c r="F53">
        <f>E53/((B53/1000*$C$43)/$C$42*6.023E+23*1.380649E-23*$C$46)*1000</f>
        <v/>
      </c>
      <c r="G53">
        <f>F53/$C$47</f>
        <v/>
      </c>
      <c r="H53" t="n">
        <v>3.36</v>
      </c>
      <c r="I53" t="n">
        <v>38.2</v>
      </c>
      <c r="J53">
        <f>$C$45</f>
        <v/>
      </c>
      <c r="K53">
        <f>I53/J53</f>
        <v/>
      </c>
      <c r="L53">
        <f>$C$44/SQRT($C$43*D53*J53*0.000001)</f>
        <v/>
      </c>
      <c r="M53">
        <f>$C$44*J53*0.000001/D53*1000</f>
        <v/>
      </c>
      <c r="N53">
        <f>SQRT($C$43*(J53*0.000001)^3/D53)*1000</f>
        <v/>
      </c>
      <c r="O53">
        <f>G53/M53</f>
        <v/>
      </c>
      <c r="P53">
        <f>G53/N53</f>
        <v/>
      </c>
      <c r="Q53">
        <f>O53/K53</f>
        <v/>
      </c>
      <c r="R53">
        <f>P53/K53^1.5</f>
        <v/>
      </c>
      <c r="S53">
        <f>2/(3*H53*0.001)</f>
        <v/>
      </c>
      <c r="T53">
        <f>S53*G53*0.001</f>
        <v/>
      </c>
    </row>
    <row r="54">
      <c r="B54" t="n">
        <v>100</v>
      </c>
      <c r="C54" t="n">
        <v>0.37</v>
      </c>
      <c r="D54" t="n">
        <v>0.063</v>
      </c>
      <c r="E54" t="n">
        <v>0.00027</v>
      </c>
      <c r="F54">
        <f>E54/((B54/1000*$C$43)/$C$42*6.023E+23*1.380649E-23*$C$46)*1000</f>
        <v/>
      </c>
      <c r="G54">
        <f>F54/$C$47</f>
        <v/>
      </c>
      <c r="H54" t="n">
        <v>6.06</v>
      </c>
      <c r="I54" t="n">
        <v>43.2</v>
      </c>
      <c r="J54">
        <f>$C$45</f>
        <v/>
      </c>
      <c r="K54">
        <f>I54/J54</f>
        <v/>
      </c>
      <c r="L54">
        <f>$C$44/SQRT($C$43*D54*J54*0.000001)</f>
        <v/>
      </c>
      <c r="M54">
        <f>$C$44*J54*0.000001/D54*1000</f>
        <v/>
      </c>
      <c r="N54">
        <f>SQRT($C$43*(J54*0.000001)^3/D54)*1000</f>
        <v/>
      </c>
      <c r="O54">
        <f>G54/M54</f>
        <v/>
      </c>
      <c r="P54">
        <f>G54/N54</f>
        <v/>
      </c>
      <c r="Q54">
        <f>O54/K54</f>
        <v/>
      </c>
      <c r="R54">
        <f>P54/K54^1.5</f>
        <v/>
      </c>
      <c r="S54">
        <f>2/(3*H54*0.001)</f>
        <v/>
      </c>
      <c r="T54">
        <f>S54*G54*0.001</f>
        <v/>
      </c>
    </row>
    <row r="55">
      <c r="B55" t="n">
        <v>250</v>
      </c>
      <c r="C55" t="n">
        <v>0.93</v>
      </c>
      <c r="D55" t="n">
        <v>0.063</v>
      </c>
      <c r="E55" t="n">
        <v>0.00083</v>
      </c>
      <c r="F55">
        <f>E55/((B55/1000*$C$43)/$C$42*6.023E+23*1.380649E-23*$C$46)*1000</f>
        <v/>
      </c>
      <c r="G55">
        <f>F55/$C$47</f>
        <v/>
      </c>
      <c r="H55" t="n">
        <v>12.21</v>
      </c>
      <c r="I55" t="n">
        <v>46.9</v>
      </c>
      <c r="J55">
        <f>$C$45</f>
        <v/>
      </c>
      <c r="K55">
        <f>I55/J55</f>
        <v/>
      </c>
      <c r="L55">
        <f>$C$44/SQRT($C$43*D55*J55*0.000001)</f>
        <v/>
      </c>
      <c r="M55">
        <f>$C$44*J55*0.000001/D55*1000</f>
        <v/>
      </c>
      <c r="N55">
        <f>SQRT($C$43*(J55*0.000001)^3/D55)*1000</f>
        <v/>
      </c>
      <c r="O55">
        <f>G55/M55</f>
        <v/>
      </c>
      <c r="P55">
        <f>G55/N55</f>
        <v/>
      </c>
      <c r="Q55">
        <f>O55/K55</f>
        <v/>
      </c>
      <c r="R55">
        <f>P55/K55^1.5</f>
        <v/>
      </c>
      <c r="S55">
        <f>2/(3*H55*0.001)</f>
        <v/>
      </c>
      <c r="T55">
        <f>S55*G55*0.001</f>
        <v/>
      </c>
    </row>
    <row r="56">
      <c r="B56" t="n">
        <v>500</v>
      </c>
      <c r="C56" t="n">
        <v>1.9</v>
      </c>
      <c r="D56" t="n">
        <v>0.0625</v>
      </c>
      <c r="E56" t="n">
        <v>0.00208</v>
      </c>
      <c r="F56">
        <f>E56/((B56/1000*$C$43)/$C$42*6.023E+23*1.380649E-23*$C$46)*1000</f>
        <v/>
      </c>
      <c r="G56">
        <f>F56/$C$47</f>
        <v/>
      </c>
      <c r="H56" t="n">
        <v>20.62</v>
      </c>
      <c r="I56" t="n">
        <v>53.4</v>
      </c>
      <c r="J56">
        <f>$C$45</f>
        <v/>
      </c>
      <c r="K56">
        <f>I56/J56</f>
        <v/>
      </c>
      <c r="L56">
        <f>$C$44/SQRT($C$43*D56*J56*0.000001)</f>
        <v/>
      </c>
      <c r="M56">
        <f>$C$44*J56*0.000001/D56*1000</f>
        <v/>
      </c>
      <c r="N56">
        <f>SQRT($C$43*(J56*0.000001)^3/D56)*1000</f>
        <v/>
      </c>
      <c r="O56">
        <f>G56/M56</f>
        <v/>
      </c>
      <c r="P56">
        <f>G56/N56</f>
        <v/>
      </c>
      <c r="Q56">
        <f>O56/K56</f>
        <v/>
      </c>
      <c r="R56">
        <f>P56/K56^1.5</f>
        <v/>
      </c>
      <c r="S56">
        <f>2/(3*H56*0.001)</f>
        <v/>
      </c>
      <c r="T56">
        <f>S56*G56*0.001</f>
        <v/>
      </c>
    </row>
    <row r="57">
      <c r="B57" t="n">
        <v>1000</v>
      </c>
      <c r="C57" t="n">
        <v>3.7</v>
      </c>
      <c r="D57" t="n">
        <v>0.0625</v>
      </c>
      <c r="E57" t="n">
        <v>0.00538</v>
      </c>
      <c r="F57">
        <f>E57/((B57/1000*$C$43)/$C$42*6.023E+23*1.380649E-23*$C$46)*1000</f>
        <v/>
      </c>
      <c r="G57">
        <f>F57/$C$47</f>
        <v/>
      </c>
      <c r="H57" t="n">
        <v>42.21</v>
      </c>
      <c r="I57" t="n">
        <v>69.5</v>
      </c>
      <c r="J57">
        <f>$C$45</f>
        <v/>
      </c>
      <c r="K57">
        <f>I57/J57</f>
        <v/>
      </c>
      <c r="L57">
        <f>$C$44/SQRT($C$43*D57*J57*0.000001)</f>
        <v/>
      </c>
      <c r="M57">
        <f>$C$44*J57*0.000001/D57*1000</f>
        <v/>
      </c>
      <c r="N57">
        <f>SQRT($C$43*(J57*0.000001)^3/D57)*1000</f>
        <v/>
      </c>
      <c r="O57">
        <f>G57/M57</f>
        <v/>
      </c>
      <c r="P57">
        <f>G57/N57</f>
        <v/>
      </c>
      <c r="Q57">
        <f>O57/K57</f>
        <v/>
      </c>
      <c r="R57">
        <f>P57/K57^1.5</f>
        <v/>
      </c>
      <c r="S57">
        <f>2/(3*H57*0.001)</f>
        <v/>
      </c>
      <c r="T57">
        <f>S57*G57*0.001</f>
        <v/>
      </c>
    </row>
    <row r="58">
      <c r="B58" t="n">
        <v>2500</v>
      </c>
      <c r="C58" t="n">
        <v>9.300000000000001</v>
      </c>
      <c r="D58" t="n">
        <v>0.0625</v>
      </c>
      <c r="E58" t="n">
        <v>0.044</v>
      </c>
      <c r="F58">
        <f>E58/((B58/1000*$C$43)/$C$42*6.023E+23*1.380649E-23*$C$46)*1000</f>
        <v/>
      </c>
      <c r="G58">
        <f>F58/$C$47</f>
        <v/>
      </c>
      <c r="H58" t="n">
        <v>98.40000000000001</v>
      </c>
      <c r="I58" t="n">
        <v>89.2</v>
      </c>
      <c r="J58">
        <f>$C$45</f>
        <v/>
      </c>
      <c r="K58">
        <f>I58/J58</f>
        <v/>
      </c>
      <c r="L58">
        <f>$C$44/SQRT($C$43*D58*J58*0.000001)</f>
        <v/>
      </c>
      <c r="M58">
        <f>$C$44*J58*0.000001/D58*1000</f>
        <v/>
      </c>
      <c r="N58">
        <f>SQRT($C$43*(J58*0.000001)^3/D58)*1000</f>
        <v/>
      </c>
      <c r="O58">
        <f>G58/M58</f>
        <v/>
      </c>
      <c r="P58">
        <f>G58/N58</f>
        <v/>
      </c>
      <c r="Q58">
        <f>O58/K58</f>
        <v/>
      </c>
      <c r="R58">
        <f>P58/K58^1.5</f>
        <v/>
      </c>
      <c r="S58">
        <f>2/(3*H58*0.001)</f>
        <v/>
      </c>
      <c r="T58">
        <f>S58*G58*0.001</f>
        <v/>
      </c>
    </row>
    <row r="59">
      <c r="B59" t="n">
        <v>10000</v>
      </c>
      <c r="C59" t="n">
        <v>37</v>
      </c>
      <c r="D59" t="n">
        <v>0.0623</v>
      </c>
      <c r="E59" t="n">
        <v>15.4</v>
      </c>
      <c r="F59">
        <f>E59/((B59/1000*$C$43)/$C$42*6.023E+23*1.380649E-23*$C$46)*1000</f>
        <v/>
      </c>
      <c r="G59">
        <f>F59/$C$47</f>
        <v/>
      </c>
      <c r="H59" t="n">
        <v>702</v>
      </c>
      <c r="I59" t="n">
        <v>161.5</v>
      </c>
      <c r="J59">
        <f>$C$45</f>
        <v/>
      </c>
      <c r="K59">
        <f>I59/J59</f>
        <v/>
      </c>
      <c r="L59">
        <f>$C$44/SQRT($C$43*D59*J59*0.000001)</f>
        <v/>
      </c>
      <c r="M59">
        <f>$C$44*J59*0.000001/D59*1000</f>
        <v/>
      </c>
      <c r="N59">
        <f>SQRT($C$43*(J59*0.000001)^3/D59)*1000</f>
        <v/>
      </c>
      <c r="O59">
        <f>G59/M59</f>
        <v/>
      </c>
      <c r="P59">
        <f>G59/N59</f>
        <v/>
      </c>
      <c r="Q59">
        <f>O59/K59</f>
        <v/>
      </c>
      <c r="R59">
        <f>P59/K59^1.5</f>
        <v/>
      </c>
      <c r="S59">
        <f>2/(3*H59*0.001)</f>
        <v/>
      </c>
      <c r="T59">
        <f>S59*G59*0.001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5" zoomScale="201" zoomScaleNormal="201" workbookViewId="0">
      <selection activeCell="A23" sqref="A23"/>
    </sheetView>
  </sheetViews>
  <sheetFormatPr baseColWidth="10" defaultRowHeight="16"/>
  <cols>
    <col width="19.6640625" customWidth="1" style="13" min="1" max="1"/>
  </cols>
  <sheetData>
    <row r="1">
      <c r="A1" s="5" t="inlineStr">
        <is>
          <t>Fig. 5 B</t>
        </is>
      </c>
    </row>
    <row r="2">
      <c r="A2" t="inlineStr">
        <is>
          <t>PS in Styrene oil</t>
        </is>
      </c>
    </row>
    <row r="3">
      <c r="B3" s="5" t="inlineStr">
        <is>
          <t>2M</t>
        </is>
      </c>
      <c r="C3" s="5" t="inlineStr">
        <is>
          <t>6.5 M</t>
        </is>
      </c>
      <c r="D3" s="5" t="inlineStr">
        <is>
          <t>20 M</t>
        </is>
      </c>
    </row>
    <row r="4">
      <c r="A4" s="5" t="inlineStr">
        <is>
          <t>Mw</t>
        </is>
      </c>
      <c r="B4" s="14" t="n">
        <v>2000000</v>
      </c>
      <c r="C4" s="14" t="n">
        <v>6500000</v>
      </c>
      <c r="D4" s="14" t="n">
        <v>20000000</v>
      </c>
      <c r="E4" t="inlineStr">
        <is>
          <t>From paper</t>
        </is>
      </c>
    </row>
    <row r="5">
      <c r="A5" s="5" t="inlineStr">
        <is>
          <t>NK</t>
        </is>
      </c>
      <c r="B5" s="14">
        <f>B4/742</f>
        <v/>
      </c>
      <c r="C5" s="14">
        <f>C4/742</f>
        <v/>
      </c>
      <c r="D5" s="14">
        <f>D4/742</f>
        <v/>
      </c>
    </row>
    <row r="6">
      <c r="A6" s="5" t="inlineStr">
        <is>
          <t>c (w% = g/100 g)</t>
        </is>
      </c>
      <c r="B6" t="n">
        <v>0.05</v>
      </c>
      <c r="C6" t="n">
        <v>0.05</v>
      </c>
      <c r="D6" t="n">
        <v>0.05</v>
      </c>
      <c r="E6" t="inlineStr">
        <is>
          <t>From paper</t>
        </is>
      </c>
    </row>
    <row r="7">
      <c r="A7" s="5" t="inlineStr">
        <is>
          <t>rho (kg/cu.m)</t>
        </is>
      </c>
      <c r="B7" t="n">
        <v>1026</v>
      </c>
      <c r="C7" t="n">
        <v>1026</v>
      </c>
      <c r="D7" t="n">
        <v>1026</v>
      </c>
      <c r="E7" t="inlineStr">
        <is>
          <t>From paper</t>
        </is>
      </c>
    </row>
    <row r="8">
      <c r="A8" s="5" t="inlineStr">
        <is>
          <t>c (g/cu.m)</t>
        </is>
      </c>
      <c r="B8">
        <f>B6/100*B7*1000</f>
        <v/>
      </c>
      <c r="C8">
        <f>C6/100*C7*1000</f>
        <v/>
      </c>
      <c r="D8">
        <f>D6/100*D7*1000</f>
        <v/>
      </c>
    </row>
    <row r="9">
      <c r="A9" s="5" t="inlineStr">
        <is>
          <t>c/c*</t>
        </is>
      </c>
      <c r="B9" s="14">
        <f>B8/B4*6.023E+23*(0.0000000018*B5^0.5)^3</f>
        <v/>
      </c>
      <c r="C9" s="14">
        <f>C8/C4*6.023E+23*(0.0000000018*C5^0.5)^3</f>
        <v/>
      </c>
      <c r="D9" s="14">
        <f>D8/D4*6.023E+23*(0.0000000018*D5^0.5)^3</f>
        <v/>
      </c>
      <c r="E9" t="inlineStr">
        <is>
          <t>number density * E0^3</t>
        </is>
      </c>
    </row>
    <row r="10">
      <c r="A10" s="5" t="inlineStr">
        <is>
          <t>eta_s (Pas)</t>
        </is>
      </c>
      <c r="B10" s="14" t="n">
        <v>34</v>
      </c>
      <c r="C10" s="14" t="n">
        <v>34</v>
      </c>
      <c r="D10" t="n">
        <v>34</v>
      </c>
      <c r="E10" t="inlineStr">
        <is>
          <t>From paper</t>
        </is>
      </c>
    </row>
    <row r="11">
      <c r="A11" s="5" t="inlineStr">
        <is>
          <t>sigma (N/m)</t>
        </is>
      </c>
      <c r="B11" t="n">
        <v>0.0378</v>
      </c>
      <c r="C11" t="n">
        <v>0.0378</v>
      </c>
      <c r="D11" t="n">
        <v>0.0378</v>
      </c>
      <c r="E11" t="inlineStr">
        <is>
          <t>From paper</t>
        </is>
      </c>
    </row>
    <row r="12">
      <c r="A12" s="5" t="inlineStr">
        <is>
          <t>eta_0 (Pa s)</t>
        </is>
      </c>
      <c r="B12" s="14" t="n">
        <v>39.2</v>
      </c>
      <c r="C12" s="14" t="n">
        <v>46.1</v>
      </c>
      <c r="D12" t="n">
        <v>55.5</v>
      </c>
      <c r="E12" t="inlineStr">
        <is>
          <t>From paper</t>
        </is>
      </c>
    </row>
    <row r="13">
      <c r="A13" s="5" t="inlineStr">
        <is>
          <t>eta_p (Pa s)</t>
        </is>
      </c>
      <c r="B13" s="14">
        <f>B12-B10</f>
        <v/>
      </c>
      <c r="C13" s="14">
        <f>C12-C10</f>
        <v/>
      </c>
      <c r="D13" s="14">
        <f>D12-D10</f>
        <v/>
      </c>
    </row>
    <row r="14">
      <c r="A14" s="5" t="inlineStr">
        <is>
          <t>lambda_eta (s)</t>
        </is>
      </c>
      <c r="B14" s="14">
        <f>B13/(B8/B4*6.023E+23*1.381E-23*294)</f>
        <v/>
      </c>
      <c r="C14" s="14">
        <f>C13/(C8/C4*6.023E+23*1.381E-23*294)</f>
        <v/>
      </c>
      <c r="D14" s="14">
        <f>D13/(D8/D4*6.023E+23*1.381E-23*294)</f>
        <v/>
      </c>
    </row>
    <row r="15">
      <c r="A15" s="5" t="inlineStr">
        <is>
          <t>lambda_1 (s)</t>
        </is>
      </c>
      <c r="B15" s="14" t="n">
        <v>3.7</v>
      </c>
      <c r="C15" s="14" t="n">
        <v>31.1</v>
      </c>
      <c r="D15" t="n">
        <v>155</v>
      </c>
      <c r="E15" t="inlineStr">
        <is>
          <t>From paper</t>
        </is>
      </c>
    </row>
    <row r="16">
      <c r="A16" s="5" t="inlineStr">
        <is>
          <t>R0 (mm)</t>
        </is>
      </c>
      <c r="B16" s="14">
        <f>1.564/2</f>
        <v/>
      </c>
      <c r="C16" s="14">
        <f>1.364/2</f>
        <v/>
      </c>
      <c r="D16">
        <f>1.32/2</f>
        <v/>
      </c>
      <c r="E16" t="inlineStr">
        <is>
          <t>From paper</t>
        </is>
      </c>
    </row>
    <row r="17">
      <c r="A17" s="5" t="inlineStr">
        <is>
          <t>lambda_v (s)</t>
        </is>
      </c>
      <c r="B17" s="14">
        <f>B10*B16/B11/1000</f>
        <v/>
      </c>
      <c r="C17" s="14">
        <f>C10*C16/C11/1000</f>
        <v/>
      </c>
      <c r="D17" s="14">
        <f>D10*D16/D11/1000</f>
        <v/>
      </c>
    </row>
    <row r="18">
      <c r="A18" s="5" t="inlineStr">
        <is>
          <t>De_v</t>
        </is>
      </c>
      <c r="B18" s="14">
        <f>B15/B17</f>
        <v/>
      </c>
      <c r="C18" s="14">
        <f>C15/C17</f>
        <v/>
      </c>
      <c r="D18" s="14">
        <f>D15/D17</f>
        <v/>
      </c>
    </row>
    <row r="19">
      <c r="A19" s="5" t="inlineStr">
        <is>
          <t>lambda_eta/lambda_1</t>
        </is>
      </c>
      <c r="B19" s="14">
        <f>B14/B15</f>
        <v/>
      </c>
      <c r="C19" s="14">
        <f>C14/C15</f>
        <v/>
      </c>
      <c r="D19" s="14">
        <f>D14/D15</f>
        <v/>
      </c>
    </row>
    <row r="20">
      <c r="A20" s="5" t="inlineStr">
        <is>
          <t>lambda_e(s)</t>
        </is>
      </c>
      <c r="B20" t="n">
        <v>3.19</v>
      </c>
      <c r="C20" t="n">
        <v>27.8</v>
      </c>
      <c r="D20" t="n">
        <v>152</v>
      </c>
      <c r="E20" t="inlineStr">
        <is>
          <t>From paper</t>
        </is>
      </c>
    </row>
    <row r="21">
      <c r="A21" s="5" t="inlineStr">
        <is>
          <t>strain rate (1/s)</t>
        </is>
      </c>
      <c r="B21">
        <f>2/(3*B20)</f>
        <v/>
      </c>
      <c r="C21">
        <f>2/(3*C20)</f>
        <v/>
      </c>
      <c r="D21">
        <f>2/(3*D20)</f>
        <v/>
      </c>
    </row>
    <row r="22">
      <c r="A22" s="5" t="inlineStr">
        <is>
          <t>Wi_e</t>
        </is>
      </c>
      <c r="B22" s="14">
        <f>B21*B15</f>
        <v/>
      </c>
      <c r="C22" s="14">
        <f>C21*C15</f>
        <v/>
      </c>
      <c r="D22" s="14">
        <f>D21*D15</f>
        <v/>
      </c>
    </row>
    <row r="23">
      <c r="A23" s="5" t="inlineStr">
        <is>
          <t>[eta] ml/g</t>
        </is>
      </c>
      <c r="B23" t="n">
        <v>70.2</v>
      </c>
      <c r="C23" t="n">
        <v>136</v>
      </c>
      <c r="D23" t="n">
        <v>255</v>
      </c>
    </row>
    <row r="24">
      <c r="A24" s="5" t="inlineStr">
        <is>
          <t>c/c*_KM</t>
        </is>
      </c>
      <c r="B24">
        <f>B8/1000000*B23*5*EXP(1)</f>
        <v/>
      </c>
      <c r="C24">
        <f>C8/1000000*C23*5*EXP(1)</f>
        <v/>
      </c>
      <c r="D24">
        <f>D8/1000000*D23*5*EXP(1)</f>
        <v/>
      </c>
    </row>
    <row r="25">
      <c r="A25" t="inlineStr">
        <is>
          <t>R_ve (D_ve/D_1, Fig 4 ~const)</t>
        </is>
      </c>
      <c r="B25" t="n">
        <v>0.65</v>
      </c>
      <c r="C25" t="n">
        <v>0.65</v>
      </c>
      <c r="D25" t="n">
        <v>0.65</v>
      </c>
      <c r="E25" t="inlineStr">
        <is>
          <t>D_ve/D_1 from Fig 4</t>
        </is>
      </c>
    </row>
    <row r="26">
      <c r="A26" t="inlineStr">
        <is>
          <t>h1 (mm)</t>
        </is>
      </c>
      <c r="B26">
        <f>B16*B25</f>
        <v/>
      </c>
      <c r="C26">
        <f>C16*C25</f>
        <v/>
      </c>
      <c r="D26">
        <f>D16*D25</f>
        <v/>
      </c>
    </row>
    <row r="27">
      <c r="A27" t="inlineStr">
        <is>
          <t>De_ve</t>
        </is>
      </c>
      <c r="B27">
        <f>B18/B25</f>
        <v/>
      </c>
      <c r="C27">
        <f>C18/C25</f>
        <v/>
      </c>
      <c r="D27">
        <f>D18/D25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4"/>
  <sheetViews>
    <sheetView tabSelected="1" zoomScaleNormal="100" workbookViewId="0">
      <selection activeCell="AZ24" sqref="AZ24"/>
    </sheetView>
  </sheetViews>
  <sheetFormatPr baseColWidth="10" defaultRowHeight="16"/>
  <cols>
    <col width="21.5" customWidth="1" style="13" min="1" max="1"/>
    <col width="23.33203125" customWidth="1" style="13" min="2" max="2"/>
    <col width="21.5" customWidth="1" style="13" min="35" max="35"/>
    <col width="23.33203125" customWidth="1" style="13" min="36" max="36"/>
  </cols>
  <sheetData>
    <row r="1">
      <c r="A1" s="5" t="n"/>
      <c r="B1" t="inlineStr">
        <is>
          <t>Remarks</t>
        </is>
      </c>
      <c r="AE1" s="5" t="n"/>
      <c r="AF1" t="inlineStr">
        <is>
          <t>Remarks</t>
        </is>
      </c>
    </row>
    <row r="2">
      <c r="A2" t="inlineStr">
        <is>
          <t xml:space="preserve">PS in OS </t>
        </is>
      </c>
      <c r="AE2" t="inlineStr">
        <is>
          <t>PS in DEP</t>
        </is>
      </c>
    </row>
    <row r="3">
      <c r="A3" t="inlineStr">
        <is>
          <t xml:space="preserve">Sample ID </t>
        </is>
      </c>
      <c r="B3" s="14" t="inlineStr">
        <is>
          <t>From Clasen-data: Boger A</t>
        </is>
      </c>
      <c r="C3" t="inlineStr">
        <is>
          <t>E</t>
        </is>
      </c>
      <c r="D3" t="inlineStr">
        <is>
          <t>E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B</t>
        </is>
      </c>
      <c r="O3" t="inlineStr">
        <is>
          <t>B</t>
        </is>
      </c>
      <c r="P3" t="inlineStr">
        <is>
          <t>B</t>
        </is>
      </c>
      <c r="Q3" t="inlineStr">
        <is>
          <t>B</t>
        </is>
      </c>
      <c r="R3" t="inlineStr">
        <is>
          <t>B</t>
        </is>
      </c>
      <c r="S3" t="inlineStr">
        <is>
          <t>B</t>
        </is>
      </c>
      <c r="T3" t="inlineStr">
        <is>
          <t>B</t>
        </is>
      </c>
      <c r="U3" t="inlineStr">
        <is>
          <t>A</t>
        </is>
      </c>
      <c r="V3" t="inlineStr">
        <is>
          <t>A</t>
        </is>
      </c>
      <c r="W3" t="inlineStr">
        <is>
          <t>A</t>
        </is>
      </c>
      <c r="X3" t="inlineStr">
        <is>
          <t>A</t>
        </is>
      </c>
      <c r="Y3" t="inlineStr">
        <is>
          <t>A</t>
        </is>
      </c>
      <c r="Z3" t="inlineStr">
        <is>
          <t>D</t>
        </is>
      </c>
      <c r="AA3" t="inlineStr">
        <is>
          <t>D</t>
        </is>
      </c>
      <c r="AB3" t="inlineStr">
        <is>
          <t>D</t>
        </is>
      </c>
      <c r="AC3" t="inlineStr">
        <is>
          <t>D</t>
        </is>
      </c>
      <c r="AD3" t="inlineStr">
        <is>
          <t>D</t>
        </is>
      </c>
      <c r="AE3" t="inlineStr">
        <is>
          <t xml:space="preserve">Sample ID </t>
        </is>
      </c>
      <c r="AF3" s="14" t="inlineStr">
        <is>
          <t>From Clasen-data: DEP A</t>
        </is>
      </c>
      <c r="AG3" t="inlineStr">
        <is>
          <t>X</t>
        </is>
      </c>
      <c r="AH3" t="inlineStr">
        <is>
          <t>X</t>
        </is>
      </c>
      <c r="AI3" t="inlineStr">
        <is>
          <t>X</t>
        </is>
      </c>
      <c r="AJ3" t="inlineStr">
        <is>
          <t>X</t>
        </is>
      </c>
      <c r="AK3" t="inlineStr">
        <is>
          <t>Y</t>
        </is>
      </c>
      <c r="AL3" t="inlineStr">
        <is>
          <t>Y</t>
        </is>
      </c>
      <c r="AM3" t="inlineStr">
        <is>
          <t>Y</t>
        </is>
      </c>
      <c r="AN3" t="inlineStr">
        <is>
          <t>Y</t>
        </is>
      </c>
    </row>
    <row r="4">
      <c r="A4" s="5" t="inlineStr">
        <is>
          <t>Mw</t>
        </is>
      </c>
      <c r="B4" s="14" t="inlineStr">
        <is>
          <t>From Clasen-data: Boger M</t>
        </is>
      </c>
      <c r="C4" s="14" t="n">
        <v>8300000</v>
      </c>
      <c r="D4" s="14" t="n">
        <v>8300000</v>
      </c>
      <c r="E4" s="14" t="n">
        <v>8300000</v>
      </c>
      <c r="F4" s="14" t="n">
        <v>8300000</v>
      </c>
      <c r="G4" s="14" t="n">
        <v>8300000</v>
      </c>
      <c r="H4" s="14" t="n">
        <v>8300000</v>
      </c>
      <c r="I4" t="n">
        <v>5700000</v>
      </c>
      <c r="J4" t="n">
        <v>5700000</v>
      </c>
      <c r="K4" s="14" t="n">
        <v>5700000</v>
      </c>
      <c r="L4" t="n">
        <v>5700000</v>
      </c>
      <c r="M4" t="n">
        <v>5700000</v>
      </c>
      <c r="N4" t="n">
        <v>2800000</v>
      </c>
      <c r="O4" t="n">
        <v>2800000</v>
      </c>
      <c r="P4" t="n">
        <v>2800000</v>
      </c>
      <c r="Q4" t="n">
        <v>2800000</v>
      </c>
      <c r="R4" t="n">
        <v>2800000</v>
      </c>
      <c r="S4" t="n">
        <v>2800000</v>
      </c>
      <c r="T4" t="n">
        <v>2800000</v>
      </c>
      <c r="U4" t="n">
        <v>1800000</v>
      </c>
      <c r="V4" t="n">
        <v>1800000</v>
      </c>
      <c r="W4" t="n">
        <v>1800000</v>
      </c>
      <c r="X4" t="n">
        <v>1800000</v>
      </c>
      <c r="Y4" t="n">
        <v>1800000</v>
      </c>
      <c r="Z4" t="n">
        <v>6000000</v>
      </c>
      <c r="AA4" t="n">
        <v>6000000</v>
      </c>
      <c r="AB4" t="n">
        <v>6000000</v>
      </c>
      <c r="AC4" t="n">
        <v>6000000</v>
      </c>
      <c r="AD4" t="n">
        <v>6000000</v>
      </c>
      <c r="AE4" s="5" t="inlineStr">
        <is>
          <t>Mw</t>
        </is>
      </c>
      <c r="AF4" s="14" t="inlineStr">
        <is>
          <t>From Clasen-data: DEP M</t>
        </is>
      </c>
      <c r="AG4" t="n">
        <v>8300000</v>
      </c>
      <c r="AH4" t="n">
        <v>8300000</v>
      </c>
      <c r="AI4" t="n">
        <v>8300000</v>
      </c>
      <c r="AJ4" t="n">
        <v>8300000</v>
      </c>
      <c r="AK4" t="n">
        <v>5700000</v>
      </c>
      <c r="AL4" t="n">
        <v>5700000</v>
      </c>
      <c r="AM4" t="n">
        <v>5700000</v>
      </c>
      <c r="AN4" t="n">
        <v>5700000</v>
      </c>
    </row>
    <row r="5">
      <c r="A5" s="5" t="inlineStr">
        <is>
          <t>NK</t>
        </is>
      </c>
      <c r="B5" t="inlineStr">
        <is>
          <t>Calculated</t>
        </is>
      </c>
      <c r="C5" s="14">
        <f>C4/742</f>
        <v/>
      </c>
      <c r="D5" s="14">
        <f>D4/742</f>
        <v/>
      </c>
      <c r="E5" s="14">
        <f>E4/742</f>
        <v/>
      </c>
      <c r="F5" s="14">
        <f>F4/742</f>
        <v/>
      </c>
      <c r="G5" s="14">
        <f>G4/742</f>
        <v/>
      </c>
      <c r="H5" s="14">
        <f>H4/742</f>
        <v/>
      </c>
      <c r="I5">
        <f>I4/742</f>
        <v/>
      </c>
      <c r="J5">
        <f>J4/742</f>
        <v/>
      </c>
      <c r="K5">
        <f>K4/742</f>
        <v/>
      </c>
      <c r="L5">
        <f>L4/742</f>
        <v/>
      </c>
      <c r="M5">
        <f>M4/742</f>
        <v/>
      </c>
      <c r="N5">
        <f>N4/742</f>
        <v/>
      </c>
      <c r="O5">
        <f>O4/742</f>
        <v/>
      </c>
      <c r="P5">
        <f>P4/742</f>
        <v/>
      </c>
      <c r="Q5">
        <f>Q4/742</f>
        <v/>
      </c>
      <c r="R5">
        <f>R4/742</f>
        <v/>
      </c>
      <c r="S5">
        <f>S4/742</f>
        <v/>
      </c>
      <c r="T5">
        <f>T4/742</f>
        <v/>
      </c>
      <c r="U5">
        <f>U4/742</f>
        <v/>
      </c>
      <c r="V5">
        <f>V4/742</f>
        <v/>
      </c>
      <c r="W5">
        <f>W4/742</f>
        <v/>
      </c>
      <c r="X5">
        <f>X4/742</f>
        <v/>
      </c>
      <c r="Y5">
        <f>Y4/742</f>
        <v/>
      </c>
      <c r="Z5">
        <f>Z4/742</f>
        <v/>
      </c>
      <c r="AA5">
        <f>AA4/742</f>
        <v/>
      </c>
      <c r="AB5">
        <f>AB4/742</f>
        <v/>
      </c>
      <c r="AC5">
        <f>AC4/742</f>
        <v/>
      </c>
      <c r="AD5">
        <f>AD4/742</f>
        <v/>
      </c>
      <c r="AE5" s="5" t="inlineStr">
        <is>
          <t>NK</t>
        </is>
      </c>
      <c r="AF5" t="inlineStr">
        <is>
          <t>Calculated</t>
        </is>
      </c>
      <c r="AG5">
        <f>AG4/742</f>
        <v/>
      </c>
      <c r="AH5">
        <f>AH4/742</f>
        <v/>
      </c>
      <c r="AI5">
        <f>AI4/742</f>
        <v/>
      </c>
      <c r="AJ5">
        <f>AJ4/742</f>
        <v/>
      </c>
      <c r="AK5">
        <f>AK4/742</f>
        <v/>
      </c>
      <c r="AL5">
        <f>AL4/742</f>
        <v/>
      </c>
      <c r="AM5">
        <f>AM4/742</f>
        <v/>
      </c>
      <c r="AN5">
        <f>AN4/742</f>
        <v/>
      </c>
    </row>
    <row r="6">
      <c r="A6" s="5" t="inlineStr">
        <is>
          <t>c (g/g)</t>
        </is>
      </c>
      <c r="B6" s="14" t="inlineStr">
        <is>
          <t>From Clasen-data: Boger AE</t>
        </is>
      </c>
      <c r="C6" s="14" t="n">
        <v>7.900000000000001e-06</v>
      </c>
      <c r="D6" s="14" t="n">
        <v>1e-05</v>
      </c>
      <c r="E6" s="14" t="n">
        <v>3.16e-05</v>
      </c>
      <c r="F6" s="14" t="n">
        <v>0.0001</v>
      </c>
      <c r="G6" s="14" t="n">
        <v>0.000316</v>
      </c>
      <c r="H6" s="14" t="n">
        <v>0.001</v>
      </c>
      <c r="I6" t="n">
        <v>7.900000000000001e-06</v>
      </c>
      <c r="J6" t="n">
        <v>1e-05</v>
      </c>
      <c r="K6" t="n">
        <v>3.16e-05</v>
      </c>
      <c r="L6" t="n">
        <v>0.0001</v>
      </c>
      <c r="M6" t="n">
        <v>0.000316</v>
      </c>
      <c r="N6" t="n">
        <v>4.4e-06</v>
      </c>
      <c r="O6" t="n">
        <v>7.5e-06</v>
      </c>
      <c r="P6" t="n">
        <v>1.4e-05</v>
      </c>
      <c r="Q6" t="n">
        <v>2.5e-05</v>
      </c>
      <c r="R6" t="n">
        <v>4.4e-05</v>
      </c>
      <c r="S6" t="n">
        <v>7.9e-05</v>
      </c>
      <c r="T6" t="n">
        <v>0.000144</v>
      </c>
      <c r="U6" t="n">
        <v>1e-05</v>
      </c>
      <c r="V6" t="n">
        <v>5e-05</v>
      </c>
      <c r="W6" t="n">
        <v>0.0001</v>
      </c>
      <c r="X6" t="n">
        <v>0.00025</v>
      </c>
      <c r="Y6" t="n">
        <v>0.0005</v>
      </c>
      <c r="Z6" t="n">
        <v>1e-05</v>
      </c>
      <c r="AA6" t="n">
        <v>5e-05</v>
      </c>
      <c r="AB6" t="n">
        <v>0.0001</v>
      </c>
      <c r="AC6" t="n">
        <v>0.00025</v>
      </c>
      <c r="AD6" t="n">
        <v>0.00075</v>
      </c>
      <c r="AE6" s="5" t="inlineStr">
        <is>
          <t>c (g/g)</t>
        </is>
      </c>
      <c r="AF6" s="14" t="inlineStr">
        <is>
          <t>From Clasen-data: DEP AE</t>
        </is>
      </c>
      <c r="AG6" t="n">
        <v>0.0001</v>
      </c>
      <c r="AH6" t="n">
        <v>0.000316</v>
      </c>
      <c r="AI6" t="n">
        <v>0.001</v>
      </c>
      <c r="AJ6" t="n">
        <v>0.00316</v>
      </c>
      <c r="AK6" t="n">
        <v>0.0001</v>
      </c>
      <c r="AL6" t="n">
        <v>0.000316</v>
      </c>
      <c r="AM6" t="n">
        <v>0.001</v>
      </c>
      <c r="AN6" t="n">
        <v>0.00316</v>
      </c>
    </row>
    <row r="7">
      <c r="A7" s="5" t="inlineStr">
        <is>
          <t>rho (kg/cu.m)</t>
        </is>
      </c>
      <c r="B7" s="14" t="inlineStr">
        <is>
          <t>From Clasen-data: Boger X</t>
        </is>
      </c>
      <c r="C7" t="n">
        <v>1026</v>
      </c>
      <c r="D7" t="n">
        <v>1026</v>
      </c>
      <c r="E7" t="n">
        <v>1026</v>
      </c>
      <c r="F7" t="n">
        <v>1026</v>
      </c>
      <c r="G7" t="n">
        <v>1026</v>
      </c>
      <c r="H7" t="n">
        <v>1026</v>
      </c>
      <c r="I7" t="n">
        <v>1026</v>
      </c>
      <c r="J7" t="n">
        <v>1026</v>
      </c>
      <c r="K7" t="n">
        <v>1026</v>
      </c>
      <c r="L7" t="n">
        <v>1026</v>
      </c>
      <c r="M7" t="n">
        <v>1026</v>
      </c>
      <c r="N7" t="n">
        <v>1026</v>
      </c>
      <c r="O7" t="n">
        <v>1026</v>
      </c>
      <c r="P7" t="n">
        <v>1026</v>
      </c>
      <c r="Q7" t="n">
        <v>1026</v>
      </c>
      <c r="R7" t="n">
        <v>1026</v>
      </c>
      <c r="S7" t="n">
        <v>1026</v>
      </c>
      <c r="T7" t="n">
        <v>1026</v>
      </c>
      <c r="U7" t="n">
        <v>1026</v>
      </c>
      <c r="V7" t="n">
        <v>1026</v>
      </c>
      <c r="W7" t="n">
        <v>1026</v>
      </c>
      <c r="X7" t="n">
        <v>1026</v>
      </c>
      <c r="Y7" t="n">
        <v>1026</v>
      </c>
      <c r="Z7" t="n">
        <v>1026</v>
      </c>
      <c r="AA7" t="n">
        <v>1026</v>
      </c>
      <c r="AB7" t="n">
        <v>1026</v>
      </c>
      <c r="AC7" t="n">
        <v>1026</v>
      </c>
      <c r="AD7" t="n">
        <v>1026</v>
      </c>
      <c r="AE7" s="5" t="inlineStr">
        <is>
          <t>rho (kg/cu.m)</t>
        </is>
      </c>
      <c r="AF7" s="14" t="inlineStr">
        <is>
          <t>From Clasen-data:DEP X</t>
        </is>
      </c>
      <c r="AG7" t="n">
        <v>1118</v>
      </c>
      <c r="AH7" t="n">
        <v>1118</v>
      </c>
      <c r="AI7" t="n">
        <v>1118</v>
      </c>
      <c r="AJ7" t="n">
        <v>1118</v>
      </c>
      <c r="AK7" t="n">
        <v>1118</v>
      </c>
      <c r="AL7" t="n">
        <v>1118</v>
      </c>
      <c r="AM7" t="n">
        <v>1118</v>
      </c>
      <c r="AN7" t="n">
        <v>1118</v>
      </c>
    </row>
    <row r="8">
      <c r="A8" s="5" t="inlineStr">
        <is>
          <t>c (g/cu.m)</t>
        </is>
      </c>
      <c r="B8" t="inlineStr">
        <is>
          <t>Calculated</t>
        </is>
      </c>
      <c r="C8" s="14">
        <f>C6*C7*1000</f>
        <v/>
      </c>
      <c r="D8" s="14">
        <f>D6*D7*1000</f>
        <v/>
      </c>
      <c r="E8" s="14">
        <f>E6*E7*1000</f>
        <v/>
      </c>
      <c r="F8" s="14">
        <f>F6*F7*1000</f>
        <v/>
      </c>
      <c r="G8" s="14">
        <f>G6*G7*1000</f>
        <v/>
      </c>
      <c r="H8" s="14">
        <f>H6*H7*1000</f>
        <v/>
      </c>
      <c r="I8" s="14">
        <f>I6*I7*1000</f>
        <v/>
      </c>
      <c r="J8" s="14">
        <f>J6*J7*1000</f>
        <v/>
      </c>
      <c r="K8" s="14">
        <f>K6*K7*1000</f>
        <v/>
      </c>
      <c r="L8" s="14">
        <f>L6*L7*1000</f>
        <v/>
      </c>
      <c r="M8" s="14">
        <f>M6*M7*1000</f>
        <v/>
      </c>
      <c r="N8" s="14">
        <f>N6*N7*1000</f>
        <v/>
      </c>
      <c r="O8" s="14">
        <f>O6*O7*1000</f>
        <v/>
      </c>
      <c r="P8" s="14">
        <f>P6*P7*1000</f>
        <v/>
      </c>
      <c r="Q8" s="14">
        <f>Q6*Q7*1000</f>
        <v/>
      </c>
      <c r="R8" s="14">
        <f>R6*R7*1000</f>
        <v/>
      </c>
      <c r="S8" s="14">
        <f>S6*S7*1000</f>
        <v/>
      </c>
      <c r="T8" s="14">
        <f>T6*T7*1000</f>
        <v/>
      </c>
      <c r="U8" s="14">
        <f>U6*U7*1000</f>
        <v/>
      </c>
      <c r="V8" s="14">
        <f>V6*V7*1000</f>
        <v/>
      </c>
      <c r="W8" s="14">
        <f>W6*W7*1000</f>
        <v/>
      </c>
      <c r="X8" s="14">
        <f>X6*X7*1000</f>
        <v/>
      </c>
      <c r="Y8" s="14">
        <f>Y6*Y7*1000</f>
        <v/>
      </c>
      <c r="Z8" s="14">
        <f>Z6*Z7*1000</f>
        <v/>
      </c>
      <c r="AA8" s="14">
        <f>AA6*AA7*1000</f>
        <v/>
      </c>
      <c r="AB8" s="14">
        <f>AB6*AB7*1000</f>
        <v/>
      </c>
      <c r="AC8" s="14">
        <f>AC6*AC7*1000</f>
        <v/>
      </c>
      <c r="AD8" s="14">
        <f>AD6*AD7*1000</f>
        <v/>
      </c>
      <c r="AE8" s="5" t="inlineStr">
        <is>
          <t>c (g/cu.m)</t>
        </is>
      </c>
      <c r="AF8" t="inlineStr">
        <is>
          <t>Calculated</t>
        </is>
      </c>
      <c r="AG8" s="14">
        <f>AG6*AG7*1000</f>
        <v/>
      </c>
      <c r="AH8" s="14">
        <f>AH6*AH7*1000</f>
        <v/>
      </c>
      <c r="AI8" s="14">
        <f>AI6*AI7*1000</f>
        <v/>
      </c>
      <c r="AJ8" s="14">
        <f>AJ6*AJ7*1000</f>
        <v/>
      </c>
      <c r="AK8" s="14">
        <f>AK6*AK7*1000</f>
        <v/>
      </c>
      <c r="AL8" s="14">
        <f>AL6*AL7*1000</f>
        <v/>
      </c>
      <c r="AM8" s="14">
        <f>AM6*AM7*1000</f>
        <v/>
      </c>
      <c r="AN8" s="14">
        <f>AN6*AN7*1000</f>
        <v/>
      </c>
    </row>
    <row r="9">
      <c r="A9" s="5" t="inlineStr">
        <is>
          <t>c/c*</t>
        </is>
      </c>
      <c r="B9" t="inlineStr">
        <is>
          <t>Calculated</t>
        </is>
      </c>
      <c r="C9" s="14">
        <f>C8/C4*6.023E+23*(0.0000000018*C5^0.5)^3</f>
        <v/>
      </c>
      <c r="D9" s="14">
        <f>D8/D4*6.023E+23*(0.0000000018*D5^0.5)^3</f>
        <v/>
      </c>
      <c r="E9" s="14">
        <f>E8/E4*6.023E+23*(0.0000000018*E5^0.5)^3</f>
        <v/>
      </c>
      <c r="F9" s="14">
        <f>F8/F4*6.023E+23*(0.0000000018*F5^0.5)^3</f>
        <v/>
      </c>
      <c r="G9" s="14">
        <f>G8/G4*6.023E+23*(0.0000000018*G5^0.5)^3</f>
        <v/>
      </c>
      <c r="H9" s="14">
        <f>H8/H4*6.023E+23*(0.0000000018*H5^0.5)^3</f>
        <v/>
      </c>
      <c r="I9" s="14">
        <f>I8/I4*6.023E+23*(0.0000000018*I5^0.5)^3</f>
        <v/>
      </c>
      <c r="J9" s="14">
        <f>J8/J4*6.023E+23*(0.0000000018*J5^0.5)^3</f>
        <v/>
      </c>
      <c r="K9" s="14">
        <f>K8/K4*6.023E+23*(0.0000000018*K5^0.5)^3</f>
        <v/>
      </c>
      <c r="L9" s="14">
        <f>L8/L4*6.023E+23*(0.0000000018*L5^0.5)^3</f>
        <v/>
      </c>
      <c r="M9" s="14">
        <f>M8/M4*6.023E+23*(0.0000000018*M5^0.5)^3</f>
        <v/>
      </c>
      <c r="N9" s="14">
        <f>N8/N4*6.023E+23*(0.0000000018*N5^0.5)^3</f>
        <v/>
      </c>
      <c r="O9" s="14">
        <f>O8/O4*6.023E+23*(0.0000000018*O5^0.5)^3</f>
        <v/>
      </c>
      <c r="P9" s="14">
        <f>P8/P4*6.023E+23*(0.0000000018*P5^0.5)^3</f>
        <v/>
      </c>
      <c r="Q9" s="14">
        <f>Q8/Q4*6.023E+23*(0.0000000018*Q5^0.5)^3</f>
        <v/>
      </c>
      <c r="R9" s="14">
        <f>R8/R4*6.023E+23*(0.0000000018*R5^0.5)^3</f>
        <v/>
      </c>
      <c r="S9" s="14">
        <f>S8/S4*6.023E+23*(0.0000000018*S5^0.5)^3</f>
        <v/>
      </c>
      <c r="T9" s="14">
        <f>T8/T4*6.023E+23*(0.0000000018*T5^0.5)^3</f>
        <v/>
      </c>
      <c r="U9" s="14">
        <f>U8/U4*6.023E+23*(0.0000000018*U5^0.5)^3</f>
        <v/>
      </c>
      <c r="V9" s="14">
        <f>V8/V4*6.023E+23*(0.0000000018*V5^0.5)^3</f>
        <v/>
      </c>
      <c r="W9" s="14">
        <f>W8/W4*6.023E+23*(0.0000000018*W5^0.5)^3</f>
        <v/>
      </c>
      <c r="X9" s="14">
        <f>X8/X4*6.023E+23*(0.0000000018*X5^0.5)^3</f>
        <v/>
      </c>
      <c r="Y9" s="14">
        <f>Y8/Y4*6.023E+23*(0.0000000018*Y5^0.5)^3</f>
        <v/>
      </c>
      <c r="Z9" s="14">
        <f>Z8/Z4*6.023E+23*(0.0000000018*Z5^0.5)^3</f>
        <v/>
      </c>
      <c r="AA9" s="14">
        <f>AA8/AA4*6.023E+23*(0.0000000018*AA5^0.5)^3</f>
        <v/>
      </c>
      <c r="AB9" s="14">
        <f>AB8/AB4*6.023E+23*(0.0000000018*AB5^0.5)^3</f>
        <v/>
      </c>
      <c r="AC9" s="14">
        <f>AC8/AC4*6.023E+23*(0.0000000018*AC5^0.5)^3</f>
        <v/>
      </c>
      <c r="AD9" s="14">
        <f>AD8/AD4*6.023E+23*(0.0000000018*AD5^0.5)^3</f>
        <v/>
      </c>
      <c r="AE9" s="5" t="inlineStr">
        <is>
          <t>c/c*</t>
        </is>
      </c>
      <c r="AF9" t="inlineStr">
        <is>
          <t>Calculated</t>
        </is>
      </c>
      <c r="AG9" s="14">
        <f>AG8/AG4*6.023E+23*(0.0000000018*AG5^0.5)^3</f>
        <v/>
      </c>
      <c r="AH9" s="14">
        <f>AH8/AH4*6.023E+23*(0.0000000018*AH5^0.5)^3</f>
        <v/>
      </c>
      <c r="AI9" s="14">
        <f>AI8/AI4*6.023E+23*(0.0000000018*AI5^0.5)^3</f>
        <v/>
      </c>
      <c r="AJ9" s="14">
        <f>AJ8/AJ4*6.023E+23*(0.0000000018*AJ5^0.5)^3</f>
        <v/>
      </c>
      <c r="AK9" s="14">
        <f>AK8/AK4*6.023E+23*(0.0000000018*AK5^0.5)^3</f>
        <v/>
      </c>
      <c r="AL9" s="14">
        <f>AL8/AL4*6.023E+23*(0.0000000018*AL5^0.5)^3</f>
        <v/>
      </c>
      <c r="AM9" s="14">
        <f>AM8/AM4*6.023E+23*(0.0000000018*AM5^0.5)^3</f>
        <v/>
      </c>
      <c r="AN9" s="14">
        <f>AN8/AN4*6.023E+23*(0.0000000018*AN5^0.5)^3</f>
        <v/>
      </c>
    </row>
    <row r="10">
      <c r="A10" s="5" t="inlineStr">
        <is>
          <t>eta_s (Pas)</t>
        </is>
      </c>
      <c r="B10" s="14" t="inlineStr">
        <is>
          <t>From Clasen-data: Boger P</t>
        </is>
      </c>
      <c r="C10" t="n">
        <v>40</v>
      </c>
      <c r="D10" t="n">
        <v>40</v>
      </c>
      <c r="E10" t="n">
        <v>40</v>
      </c>
      <c r="F10" t="n">
        <v>40</v>
      </c>
      <c r="G10" t="n">
        <v>40</v>
      </c>
      <c r="H10" t="n">
        <v>40</v>
      </c>
      <c r="I10" t="n">
        <v>40</v>
      </c>
      <c r="J10" t="n">
        <v>40</v>
      </c>
      <c r="K10" t="n">
        <v>40</v>
      </c>
      <c r="L10" t="n">
        <v>40</v>
      </c>
      <c r="M10" t="n">
        <v>40</v>
      </c>
      <c r="N10" t="n">
        <v>51</v>
      </c>
      <c r="O10" t="n">
        <v>51</v>
      </c>
      <c r="P10" t="n">
        <v>51</v>
      </c>
      <c r="Q10" t="n">
        <v>51</v>
      </c>
      <c r="R10" t="n">
        <v>51</v>
      </c>
      <c r="S10" t="n">
        <v>51</v>
      </c>
      <c r="T10" t="n">
        <v>51</v>
      </c>
      <c r="U10" t="n">
        <v>33</v>
      </c>
      <c r="V10" t="n">
        <v>33</v>
      </c>
      <c r="W10" t="n">
        <v>33</v>
      </c>
      <c r="X10" t="n">
        <v>33</v>
      </c>
      <c r="Y10" t="n">
        <v>33</v>
      </c>
      <c r="Z10" t="n">
        <v>33</v>
      </c>
      <c r="AA10" t="n">
        <v>33</v>
      </c>
      <c r="AB10" t="n">
        <v>33</v>
      </c>
      <c r="AC10" t="n">
        <v>33</v>
      </c>
      <c r="AD10" t="n">
        <v>33</v>
      </c>
      <c r="AE10" s="5" t="inlineStr">
        <is>
          <t>eta_s (Pas)</t>
        </is>
      </c>
      <c r="AF10" s="14" t="inlineStr">
        <is>
          <t>From Clasen-data: DEP P</t>
        </is>
      </c>
      <c r="AG10" t="n">
        <v>0.011</v>
      </c>
      <c r="AH10" t="n">
        <v>0.011</v>
      </c>
      <c r="AI10" t="n">
        <v>0.011</v>
      </c>
      <c r="AJ10" t="n">
        <v>0.011</v>
      </c>
      <c r="AK10" t="n">
        <v>0.011</v>
      </c>
      <c r="AL10" t="n">
        <v>0.011</v>
      </c>
      <c r="AM10" t="n">
        <v>0.011</v>
      </c>
      <c r="AN10" t="n">
        <v>0.011</v>
      </c>
    </row>
    <row r="11">
      <c r="A11" s="5" t="inlineStr">
        <is>
          <t>sigma (N/m)</t>
        </is>
      </c>
      <c r="B11" s="14" t="inlineStr">
        <is>
          <t>From Clasen-data: Boger Q</t>
        </is>
      </c>
      <c r="C11" t="n">
        <v>0.0378</v>
      </c>
      <c r="D11" t="n">
        <v>0.0378</v>
      </c>
      <c r="E11" t="n">
        <v>0.0378</v>
      </c>
      <c r="F11" t="n">
        <v>0.0378</v>
      </c>
      <c r="G11" t="n">
        <v>0.0378</v>
      </c>
      <c r="H11" t="n">
        <v>0.0378</v>
      </c>
      <c r="I11" t="n">
        <v>0.0378</v>
      </c>
      <c r="J11" t="n">
        <v>0.0378</v>
      </c>
      <c r="K11" t="n">
        <v>0.0378</v>
      </c>
      <c r="L11" t="n">
        <v>0.0378</v>
      </c>
      <c r="M11" t="n">
        <v>0.0378</v>
      </c>
      <c r="N11" t="n">
        <v>0.0378</v>
      </c>
      <c r="O11" t="n">
        <v>0.0378</v>
      </c>
      <c r="P11" t="n">
        <v>0.0378</v>
      </c>
      <c r="Q11" t="n">
        <v>0.0378</v>
      </c>
      <c r="R11" t="n">
        <v>0.0378</v>
      </c>
      <c r="S11" t="n">
        <v>0.0378</v>
      </c>
      <c r="T11" t="n">
        <v>0.0378</v>
      </c>
      <c r="U11" t="n">
        <v>0.0378</v>
      </c>
      <c r="V11" t="n">
        <v>0.0378</v>
      </c>
      <c r="W11" t="n">
        <v>0.0378</v>
      </c>
      <c r="X11" t="n">
        <v>0.0378</v>
      </c>
      <c r="Y11" t="n">
        <v>0.0378</v>
      </c>
      <c r="Z11" t="n">
        <v>0.0378</v>
      </c>
      <c r="AA11" t="n">
        <v>0.0378</v>
      </c>
      <c r="AB11" t="n">
        <v>0.0378</v>
      </c>
      <c r="AC11" t="n">
        <v>0.0378</v>
      </c>
      <c r="AD11" t="n">
        <v>0.0378</v>
      </c>
      <c r="AE11" s="5" t="inlineStr">
        <is>
          <t>sigma (N/m)</t>
        </is>
      </c>
      <c r="AF11" s="14" t="inlineStr">
        <is>
          <t>From Clasen-data: DEP Q</t>
        </is>
      </c>
      <c r="AG11" t="n">
        <v>0.0375</v>
      </c>
      <c r="AH11" t="n">
        <v>0.0375</v>
      </c>
      <c r="AI11" t="n">
        <v>0.0375</v>
      </c>
      <c r="AJ11" t="n">
        <v>0.0375</v>
      </c>
      <c r="AK11" t="n">
        <v>0.0375</v>
      </c>
      <c r="AL11" t="n">
        <v>0.0375</v>
      </c>
      <c r="AM11" t="n">
        <v>0.0375</v>
      </c>
      <c r="AN11" t="n">
        <v>0.0375</v>
      </c>
    </row>
    <row r="12">
      <c r="A12" s="5" t="inlineStr">
        <is>
          <t>eta_0 (Pa s)</t>
        </is>
      </c>
      <c r="B12" s="14" t="inlineStr">
        <is>
          <t>Ignore</t>
        </is>
      </c>
      <c r="AE12" s="5" t="inlineStr">
        <is>
          <t>eta_0 (Pa s)</t>
        </is>
      </c>
      <c r="AF12" s="14" t="inlineStr">
        <is>
          <t>Ignore</t>
        </is>
      </c>
    </row>
    <row r="13">
      <c r="A13" s="5" t="inlineStr">
        <is>
          <t>eta_p (Pa s)</t>
        </is>
      </c>
      <c r="B13" s="14" t="inlineStr">
        <is>
          <t>Ignore</t>
        </is>
      </c>
      <c r="AE13" s="5" t="inlineStr">
        <is>
          <t>eta_p (Pa s)</t>
        </is>
      </c>
      <c r="AF13" s="14" t="inlineStr">
        <is>
          <t>Ignore</t>
        </is>
      </c>
    </row>
    <row r="14">
      <c r="A14" s="5" t="inlineStr">
        <is>
          <t>lambda_eta (s)</t>
        </is>
      </c>
      <c r="B14" s="14" t="inlineStr">
        <is>
          <t>Ignore</t>
        </is>
      </c>
      <c r="AE14" s="5" t="inlineStr">
        <is>
          <t>lambda_eta (s)</t>
        </is>
      </c>
      <c r="AF14" s="14" t="inlineStr">
        <is>
          <t>Ignore</t>
        </is>
      </c>
    </row>
    <row r="15">
      <c r="A15" s="5" t="inlineStr">
        <is>
          <t>lambda_1 /lambda_Z</t>
        </is>
      </c>
      <c r="B15" s="14" t="inlineStr">
        <is>
          <t>From Clasen-data: Boger AL</t>
        </is>
      </c>
      <c r="C15" t="n">
        <v>1.006097564923152</v>
      </c>
      <c r="D15" t="n">
        <v>1.007724682599521</v>
      </c>
      <c r="E15" t="n">
        <v>1.024614249700059</v>
      </c>
      <c r="F15" t="n">
        <v>1.079988075638811</v>
      </c>
      <c r="G15" t="n">
        <v>1.275275201967921</v>
      </c>
      <c r="H15" t="n">
        <v>2.158686640583815</v>
      </c>
      <c r="I15" t="n">
        <v>1.004919882773493</v>
      </c>
      <c r="J15" t="n">
        <v>1.00623176716611</v>
      </c>
      <c r="K15" t="n">
        <v>1.019825239506798</v>
      </c>
      <c r="L15" t="n">
        <v>1.064094603467194</v>
      </c>
      <c r="M15" t="n">
        <v>1.216907479868453</v>
      </c>
      <c r="N15" t="n">
        <v>1.001857140753784</v>
      </c>
      <c r="O15" t="n">
        <v>1.003167651438169</v>
      </c>
      <c r="P15" t="n">
        <v>1.005921064613366</v>
      </c>
      <c r="Q15" t="n">
        <v>1.010597914249399</v>
      </c>
      <c r="R15" t="n">
        <v>1.018727382398646</v>
      </c>
      <c r="S15" t="n">
        <v>1.03387429176492</v>
      </c>
      <c r="T15" t="n">
        <v>1.062604302439232</v>
      </c>
      <c r="U15" t="n">
        <v>1.003273155111782</v>
      </c>
      <c r="V15" t="n">
        <v>1.01647326224797</v>
      </c>
      <c r="W15" t="n">
        <v>1.03321789286503</v>
      </c>
      <c r="X15" t="n">
        <v>1.085125067570915</v>
      </c>
      <c r="Y15" t="n">
        <v>1.177496412270783</v>
      </c>
      <c r="Z15" t="n">
        <v>1.006433104095835</v>
      </c>
      <c r="AA15" t="n">
        <v>1.032582039665878</v>
      </c>
      <c r="AB15" t="n">
        <v>1.066225668640544</v>
      </c>
      <c r="AC15" t="n">
        <v>1.1738776504453</v>
      </c>
      <c r="AD15" t="n">
        <v>1.617590182355882</v>
      </c>
      <c r="AE15" s="5" t="inlineStr">
        <is>
          <t>lambda_1 /lambda_Z</t>
        </is>
      </c>
      <c r="AF15" s="14" t="inlineStr">
        <is>
          <t>From Clasen-data: DEP AL</t>
        </is>
      </c>
      <c r="AG15" t="n">
        <v>1.023795838219129</v>
      </c>
      <c r="AH15" t="n">
        <v>1.077145116813696</v>
      </c>
      <c r="AI15" t="n">
        <v>1.265125466164581</v>
      </c>
      <c r="AJ15" t="n">
        <v>2.102529845483239</v>
      </c>
      <c r="AK15" t="n">
        <v>1.018322148066797</v>
      </c>
      <c r="AL15" t="n">
        <v>1.059051791217397</v>
      </c>
      <c r="AM15" t="n">
        <v>1.19909031682306</v>
      </c>
      <c r="AN15" t="n">
        <v>1.774892241374998</v>
      </c>
    </row>
    <row r="16">
      <c r="A16" s="5" t="inlineStr">
        <is>
          <t>R0 (mm)</t>
        </is>
      </c>
      <c r="B16" s="14" t="inlineStr">
        <is>
          <t>From Clasen-data: Boger S</t>
        </is>
      </c>
      <c r="C16" s="14" t="n">
        <v>1.195</v>
      </c>
      <c r="D16" s="14" t="n">
        <v>1.195</v>
      </c>
      <c r="E16" s="14" t="n">
        <v>1.195</v>
      </c>
      <c r="F16" s="14" t="n">
        <v>1.195</v>
      </c>
      <c r="G16" s="14" t="n">
        <v>1.195</v>
      </c>
      <c r="H16" s="14" t="n">
        <v>1.195</v>
      </c>
      <c r="I16" t="n">
        <v>1.195</v>
      </c>
      <c r="J16" t="n">
        <v>1.195</v>
      </c>
      <c r="K16" t="n">
        <v>1.195</v>
      </c>
      <c r="L16" t="n">
        <v>1.195</v>
      </c>
      <c r="M16" t="n">
        <v>1.195</v>
      </c>
      <c r="N16" t="n">
        <v>1.195</v>
      </c>
      <c r="O16" t="n">
        <v>1.195</v>
      </c>
      <c r="P16" t="n">
        <v>1.195</v>
      </c>
      <c r="Q16" t="n">
        <v>1.195</v>
      </c>
      <c r="R16" t="n">
        <v>1.195</v>
      </c>
      <c r="S16" t="n">
        <v>1.195</v>
      </c>
      <c r="T16" t="n">
        <v>1.195</v>
      </c>
      <c r="U16" t="n">
        <v>0.5975</v>
      </c>
      <c r="V16" t="n">
        <v>0.5975</v>
      </c>
      <c r="W16" t="n">
        <v>0.5975</v>
      </c>
      <c r="X16" t="n">
        <v>0.5975</v>
      </c>
      <c r="Y16" t="n">
        <v>0.5975</v>
      </c>
      <c r="Z16" t="n">
        <v>0.5975</v>
      </c>
      <c r="AA16" t="n">
        <v>0.5975</v>
      </c>
      <c r="AB16" t="n">
        <v>0.5975</v>
      </c>
      <c r="AC16" t="n">
        <v>0.5975</v>
      </c>
      <c r="AD16" t="n">
        <v>0.5975</v>
      </c>
      <c r="AE16" s="5" t="inlineStr">
        <is>
          <t>R0 (mm)</t>
        </is>
      </c>
      <c r="AF16" s="14" t="inlineStr">
        <is>
          <t>From Clasen-data: DEP S</t>
        </is>
      </c>
      <c r="AG16" t="n">
        <v>1.195</v>
      </c>
      <c r="AH16" t="n">
        <v>1.195</v>
      </c>
      <c r="AI16" t="n">
        <v>1.195</v>
      </c>
      <c r="AJ16" t="n">
        <v>1.195</v>
      </c>
      <c r="AK16" t="n">
        <v>1.195</v>
      </c>
      <c r="AL16" t="n">
        <v>1.195</v>
      </c>
      <c r="AM16" t="n">
        <v>1.195</v>
      </c>
      <c r="AN16" t="n">
        <v>1.195</v>
      </c>
    </row>
    <row r="17">
      <c r="A17" s="5" t="inlineStr">
        <is>
          <t>lambda_v (s)</t>
        </is>
      </c>
      <c r="B17" s="14" t="inlineStr">
        <is>
          <t>Calculated</t>
        </is>
      </c>
      <c r="C17" s="14">
        <f>C10*C16/C11/1000</f>
        <v/>
      </c>
      <c r="D17" s="14">
        <f>D10*D16/D11/1000</f>
        <v/>
      </c>
      <c r="E17" s="14">
        <f>E10*E16/E11/1000</f>
        <v/>
      </c>
      <c r="F17" s="14">
        <f>F10*F16/F11/1000</f>
        <v/>
      </c>
      <c r="G17" s="14">
        <f>G10*G16/G11/1000</f>
        <v/>
      </c>
      <c r="H17" s="14">
        <f>H10*H16/H11/1000</f>
        <v/>
      </c>
      <c r="I17" s="14">
        <f>I10*I16/I11/1000</f>
        <v/>
      </c>
      <c r="J17" s="14">
        <f>J10*J16/J11/1000</f>
        <v/>
      </c>
      <c r="K17" s="14">
        <f>K10*K16/K11/1000</f>
        <v/>
      </c>
      <c r="L17" s="14">
        <f>L10*L16/L11/1000</f>
        <v/>
      </c>
      <c r="M17" s="14">
        <f>M10*M16/M11/1000</f>
        <v/>
      </c>
      <c r="N17" s="14">
        <f>N10*N16/N11/1000</f>
        <v/>
      </c>
      <c r="O17" s="14">
        <f>O10*O16/O11/1000</f>
        <v/>
      </c>
      <c r="P17" s="14">
        <f>P10*P16/P11/1000</f>
        <v/>
      </c>
      <c r="Q17" s="14">
        <f>Q10*Q16/Q11/1000</f>
        <v/>
      </c>
      <c r="R17" s="14">
        <f>R10*R16/R11/1000</f>
        <v/>
      </c>
      <c r="S17" s="14">
        <f>S10*S16/S11/1000</f>
        <v/>
      </c>
      <c r="T17" s="14">
        <f>T10*T16/T11/1000</f>
        <v/>
      </c>
      <c r="U17" s="14">
        <f>U10*U16/U11/1000</f>
        <v/>
      </c>
      <c r="V17" s="14">
        <f>V10*V16/V11/1000</f>
        <v/>
      </c>
      <c r="W17" s="14">
        <f>W10*W16/W11/1000</f>
        <v/>
      </c>
      <c r="X17" s="14">
        <f>X10*X16/X11/1000</f>
        <v/>
      </c>
      <c r="Y17" s="14">
        <f>Y10*Y16/Y11/1000</f>
        <v/>
      </c>
      <c r="Z17" s="14">
        <f>Z10*Z16/Z11/1000</f>
        <v/>
      </c>
      <c r="AA17" s="14">
        <f>AA10*AA16/AA11/1000</f>
        <v/>
      </c>
      <c r="AB17" s="14">
        <f>AB10*AB16/AB11/1000</f>
        <v/>
      </c>
      <c r="AC17" s="14">
        <f>AC10*AC16/AC11/1000</f>
        <v/>
      </c>
      <c r="AD17" s="14">
        <f>AD10*AD16/AD11/1000</f>
        <v/>
      </c>
      <c r="AE17" s="5" t="inlineStr">
        <is>
          <t>lambda_v (s)</t>
        </is>
      </c>
      <c r="AF17" s="14" t="inlineStr">
        <is>
          <t>Calculated</t>
        </is>
      </c>
      <c r="AG17" s="14">
        <f>AG10*AG16/AG11/1000</f>
        <v/>
      </c>
      <c r="AH17" s="14">
        <f>AH10*AH16/AH11/1000</f>
        <v/>
      </c>
      <c r="AI17" s="14">
        <f>AI10*AI16/AI11/1000</f>
        <v/>
      </c>
      <c r="AJ17" s="14">
        <f>AJ10*AJ16/AJ11/1000</f>
        <v/>
      </c>
      <c r="AK17" s="14">
        <f>AK10*AK16/AK11/1000</f>
        <v/>
      </c>
      <c r="AL17" s="14">
        <f>AL10*AL16/AL11/1000</f>
        <v/>
      </c>
      <c r="AM17" s="14">
        <f>AM10*AM16/AM11/1000</f>
        <v/>
      </c>
      <c r="AN17" s="14">
        <f>AN10*AN16/AN11/1000</f>
        <v/>
      </c>
    </row>
    <row r="18">
      <c r="A18" s="5" t="inlineStr">
        <is>
          <t>De_v</t>
        </is>
      </c>
      <c r="B18" s="14" t="inlineStr">
        <is>
          <t>Calculated</t>
        </is>
      </c>
      <c r="C18" s="14">
        <f>C15*C28/C17</f>
        <v/>
      </c>
      <c r="D18" s="14">
        <f>D15*D28/D17</f>
        <v/>
      </c>
      <c r="E18" s="14">
        <f>E15*E28/E17</f>
        <v/>
      </c>
      <c r="F18" s="14">
        <f>F15*F28/F17</f>
        <v/>
      </c>
      <c r="G18" s="14">
        <f>G15*G28/G17</f>
        <v/>
      </c>
      <c r="H18" s="14">
        <f>H15*H28/H17</f>
        <v/>
      </c>
      <c r="I18" s="14">
        <f>I15*I28/I17</f>
        <v/>
      </c>
      <c r="J18" s="14">
        <f>J15*J28/J17</f>
        <v/>
      </c>
      <c r="K18" s="14">
        <f>K15*K28/K17</f>
        <v/>
      </c>
      <c r="L18" s="14">
        <f>L15*L28/L17</f>
        <v/>
      </c>
      <c r="M18" s="14">
        <f>M15*M28/M17</f>
        <v/>
      </c>
      <c r="N18" s="14">
        <f>N15*N28/N17</f>
        <v/>
      </c>
      <c r="O18" s="14">
        <f>O15*O28/O17</f>
        <v/>
      </c>
      <c r="P18" s="14">
        <f>P15*P28/P17</f>
        <v/>
      </c>
      <c r="Q18" s="14">
        <f>Q15*Q28/Q17</f>
        <v/>
      </c>
      <c r="R18" s="14">
        <f>R15*R28/R17</f>
        <v/>
      </c>
      <c r="S18" s="14">
        <f>S15*S28/S17</f>
        <v/>
      </c>
      <c r="T18" s="14">
        <f>T15*T28/T17</f>
        <v/>
      </c>
      <c r="U18" s="14">
        <f>U15*U28/U17</f>
        <v/>
      </c>
      <c r="V18" s="14">
        <f>V15*V28/V17</f>
        <v/>
      </c>
      <c r="W18" s="14">
        <f>W15*W28/W17</f>
        <v/>
      </c>
      <c r="X18" s="14">
        <f>X15*X28/X17</f>
        <v/>
      </c>
      <c r="Y18" s="14">
        <f>Y15*Y28/Y17</f>
        <v/>
      </c>
      <c r="Z18" s="14">
        <f>Z15*Z28/Z17</f>
        <v/>
      </c>
      <c r="AA18" s="14">
        <f>AA15*AA28/AA17</f>
        <v/>
      </c>
      <c r="AB18" s="14">
        <f>AB15*AB28/AB17</f>
        <v/>
      </c>
      <c r="AC18" s="14">
        <f>AC15*AC28/AC17</f>
        <v/>
      </c>
      <c r="AD18" s="14">
        <f>AD15*AD28/AD17</f>
        <v/>
      </c>
      <c r="AE18" s="5" t="inlineStr">
        <is>
          <t>De_v</t>
        </is>
      </c>
      <c r="AF18" s="14" t="inlineStr">
        <is>
          <t>Calculated</t>
        </is>
      </c>
      <c r="AG18" s="14">
        <f>AG15*AG28/AG17</f>
        <v/>
      </c>
      <c r="AH18" s="14">
        <f>AH15*AH28/AH17</f>
        <v/>
      </c>
      <c r="AI18" s="14">
        <f>AI15*AI28/AI17</f>
        <v/>
      </c>
      <c r="AJ18" s="14">
        <f>AJ15*AJ28/AJ17</f>
        <v/>
      </c>
      <c r="AK18" s="14">
        <f>AK15*AK28/AK17</f>
        <v/>
      </c>
      <c r="AL18" s="14">
        <f>AL15*AL28/AL17</f>
        <v/>
      </c>
      <c r="AM18" s="14">
        <f>AM15*AM28/AM17</f>
        <v/>
      </c>
      <c r="AN18" s="14">
        <f>AN15*AN28/AN17</f>
        <v/>
      </c>
    </row>
    <row r="19">
      <c r="A19" s="5" t="inlineStr">
        <is>
          <t>lambda_eta/lambda_1</t>
        </is>
      </c>
      <c r="B19" s="14" t="inlineStr">
        <is>
          <t>Ignore</t>
        </is>
      </c>
      <c r="AE19" s="5" t="inlineStr">
        <is>
          <t>lambda_eta/lambda_1</t>
        </is>
      </c>
      <c r="AF19" s="14" t="inlineStr">
        <is>
          <t>Ignore</t>
        </is>
      </c>
    </row>
    <row r="20">
      <c r="A20" s="5" t="inlineStr">
        <is>
          <t>lambda_e/lambda_Z</t>
        </is>
      </c>
      <c r="B20" s="14" t="inlineStr">
        <is>
          <t>From Clasen-data: Boger AK</t>
        </is>
      </c>
      <c r="C20" t="n">
        <v>0.324</v>
      </c>
      <c r="D20" t="n">
        <v>0.39</v>
      </c>
      <c r="E20" t="n">
        <v>0.805</v>
      </c>
      <c r="F20" t="n">
        <v>1.875</v>
      </c>
      <c r="G20" t="n">
        <v>5.87</v>
      </c>
      <c r="H20" t="n">
        <v>18.178</v>
      </c>
      <c r="I20" t="n">
        <v>0.486</v>
      </c>
      <c r="J20" t="n">
        <v>0.523</v>
      </c>
      <c r="K20" t="n">
        <v>0.733</v>
      </c>
      <c r="L20" t="n">
        <v>1.277</v>
      </c>
      <c r="M20" t="n">
        <v>5.69</v>
      </c>
      <c r="N20" t="n">
        <v>0.354</v>
      </c>
      <c r="O20" t="n">
        <v>0.629</v>
      </c>
      <c r="P20" t="n">
        <v>0.702</v>
      </c>
      <c r="Q20" t="n">
        <v>0.99</v>
      </c>
      <c r="R20" t="n">
        <v>1.121</v>
      </c>
      <c r="S20" t="n">
        <v>1.876</v>
      </c>
      <c r="T20" t="n">
        <v>2.033</v>
      </c>
      <c r="U20" t="n">
        <v>0.548</v>
      </c>
      <c r="V20" t="n">
        <v>0.995</v>
      </c>
      <c r="W20" t="n">
        <v>1.286</v>
      </c>
      <c r="X20" t="n">
        <v>2.699</v>
      </c>
      <c r="Y20" t="n">
        <v>5.019</v>
      </c>
      <c r="Z20" t="n">
        <v>0.392</v>
      </c>
      <c r="AA20" t="n">
        <v>0.6830000000000001</v>
      </c>
      <c r="AB20" t="n">
        <v>1.482</v>
      </c>
      <c r="AC20" t="n">
        <v>4.034</v>
      </c>
      <c r="AD20" t="n">
        <v>8.311999999999999</v>
      </c>
      <c r="AE20" s="5" t="inlineStr">
        <is>
          <t>lambda_e/lambda_Z</t>
        </is>
      </c>
      <c r="AF20" s="14" t="inlineStr">
        <is>
          <t>From Clasen-data: DEP AK</t>
        </is>
      </c>
      <c r="AG20" t="n">
        <v>1.12</v>
      </c>
      <c r="AH20" t="n">
        <v>1.819</v>
      </c>
      <c r="AI20" t="n">
        <v>2.784</v>
      </c>
      <c r="AJ20" t="n">
        <v>6.753</v>
      </c>
      <c r="AK20" t="n">
        <v>0.8100000000000001</v>
      </c>
      <c r="AL20" t="n">
        <v>1.11</v>
      </c>
      <c r="AM20" t="n">
        <v>2.303</v>
      </c>
      <c r="AN20" t="n">
        <v>4.102</v>
      </c>
    </row>
    <row r="21">
      <c r="A21" s="5" t="inlineStr">
        <is>
          <t>strain rate (1/s)</t>
        </is>
      </c>
      <c r="B21" s="14" t="inlineStr">
        <is>
          <t>Ignore</t>
        </is>
      </c>
      <c r="AE21" s="5" t="inlineStr">
        <is>
          <t>strain rate (1/s)</t>
        </is>
      </c>
      <c r="AF21" s="14" t="inlineStr">
        <is>
          <t>Ignore</t>
        </is>
      </c>
    </row>
    <row r="22">
      <c r="A22" s="5" t="inlineStr">
        <is>
          <t>Wi_e</t>
        </is>
      </c>
      <c r="B22" s="14" t="inlineStr">
        <is>
          <t>Calculated</t>
        </is>
      </c>
      <c r="C22">
        <f>(2/3)*C15/C20</f>
        <v/>
      </c>
      <c r="D22">
        <f>(2/3)*D15/D20</f>
        <v/>
      </c>
      <c r="E22">
        <f>(2/3)*E15/E20</f>
        <v/>
      </c>
      <c r="F22">
        <f>(2/3)*F15/F20</f>
        <v/>
      </c>
      <c r="G22">
        <f>(2/3)*G15/G20</f>
        <v/>
      </c>
      <c r="H22">
        <f>(2/3)*H15/H20</f>
        <v/>
      </c>
      <c r="I22">
        <f>(2/3)*I15/I20</f>
        <v/>
      </c>
      <c r="J22">
        <f>(2/3)*J15/J20</f>
        <v/>
      </c>
      <c r="K22">
        <f>(2/3)*K15/K20</f>
        <v/>
      </c>
      <c r="L22">
        <f>(2/3)*L15/L20</f>
        <v/>
      </c>
      <c r="M22">
        <f>(2/3)*M15/M20</f>
        <v/>
      </c>
      <c r="N22">
        <f>(2/3)*N15/N20</f>
        <v/>
      </c>
      <c r="O22">
        <f>(2/3)*O15/O20</f>
        <v/>
      </c>
      <c r="P22">
        <f>(2/3)*P15/P20</f>
        <v/>
      </c>
      <c r="Q22">
        <f>(2/3)*Q15/Q20</f>
        <v/>
      </c>
      <c r="R22">
        <f>(2/3)*R15/R20</f>
        <v/>
      </c>
      <c r="S22">
        <f>(2/3)*S15/S20</f>
        <v/>
      </c>
      <c r="T22">
        <f>(2/3)*T15/T20</f>
        <v/>
      </c>
      <c r="U22">
        <f>(2/3)*U15/U20</f>
        <v/>
      </c>
      <c r="V22">
        <f>(2/3)*V15/V20</f>
        <v/>
      </c>
      <c r="W22">
        <f>(2/3)*W15/W20</f>
        <v/>
      </c>
      <c r="X22">
        <f>(2/3)*X15/X20</f>
        <v/>
      </c>
      <c r="Y22">
        <f>(2/3)*Y15/Y20</f>
        <v/>
      </c>
      <c r="Z22">
        <f>(2/3)*Z15/Z20</f>
        <v/>
      </c>
      <c r="AA22">
        <f>(2/3)*AA15/AA20</f>
        <v/>
      </c>
      <c r="AB22">
        <f>(2/3)*AB15/AB20</f>
        <v/>
      </c>
      <c r="AC22">
        <f>(2/3)*AC15/AC20</f>
        <v/>
      </c>
      <c r="AD22">
        <f>(2/3)*AD15/AD20</f>
        <v/>
      </c>
      <c r="AE22" s="5" t="inlineStr">
        <is>
          <t>Wi_e</t>
        </is>
      </c>
      <c r="AF22" s="14" t="inlineStr">
        <is>
          <t>Calculated</t>
        </is>
      </c>
      <c r="AG22">
        <f>(2/3)*AG15/AG20</f>
        <v/>
      </c>
      <c r="AH22">
        <f>(2/3)*AH15/AH20</f>
        <v/>
      </c>
      <c r="AI22">
        <f>(2/3)*AI15/AI20</f>
        <v/>
      </c>
      <c r="AJ22">
        <f>(2/3)*AJ15/AJ20</f>
        <v/>
      </c>
      <c r="AK22">
        <f>(2/3)*AK15/AK20</f>
        <v/>
      </c>
      <c r="AL22">
        <f>(2/3)*AL15/AL20</f>
        <v/>
      </c>
      <c r="AM22">
        <f>(2/3)*AM15/AM20</f>
        <v/>
      </c>
      <c r="AN22">
        <f>(2/3)*AN15/AN20</f>
        <v/>
      </c>
    </row>
    <row r="23">
      <c r="A23" s="5" t="inlineStr">
        <is>
          <t>L0 (mm)</t>
        </is>
      </c>
      <c r="B23" s="14" t="inlineStr">
        <is>
          <t>Ignore</t>
        </is>
      </c>
      <c r="C23">
        <f>0.5*3</f>
        <v/>
      </c>
      <c r="D23">
        <f>0.5*3</f>
        <v/>
      </c>
      <c r="E23">
        <f>0.5*3</f>
        <v/>
      </c>
      <c r="F23">
        <f>0.5*3</f>
        <v/>
      </c>
      <c r="G23">
        <f>0.5*3</f>
        <v/>
      </c>
      <c r="H23">
        <f>0.5*3</f>
        <v/>
      </c>
      <c r="AE23" s="5" t="inlineStr">
        <is>
          <t>L0 (mm)</t>
        </is>
      </c>
      <c r="AF23" s="14" t="inlineStr">
        <is>
          <t>Ignore</t>
        </is>
      </c>
    </row>
    <row r="24">
      <c r="A24" s="5" t="inlineStr">
        <is>
          <t>P (mm)</t>
        </is>
      </c>
      <c r="B24" s="14" t="inlineStr">
        <is>
          <t>Ignore</t>
        </is>
      </c>
      <c r="C24" t="n">
        <v>1.5</v>
      </c>
      <c r="D24" t="n">
        <v>1.5</v>
      </c>
      <c r="E24" t="n">
        <v>1.5</v>
      </c>
      <c r="F24" t="n">
        <v>1.5</v>
      </c>
      <c r="G24" t="n">
        <v>1.5</v>
      </c>
      <c r="H24" t="n">
        <v>1.5</v>
      </c>
      <c r="AE24" s="5" t="inlineStr">
        <is>
          <t>P (mm)</t>
        </is>
      </c>
      <c r="AF24" s="14" t="inlineStr">
        <is>
          <t>Ignore</t>
        </is>
      </c>
    </row>
    <row r="25">
      <c r="A25" s="5" t="inlineStr">
        <is>
          <t>V0 (mm)^3</t>
        </is>
      </c>
      <c r="B25" s="14" t="inlineStr">
        <is>
          <t>Ignore</t>
        </is>
      </c>
      <c r="C25">
        <f>C23*PI()*C24^2</f>
        <v/>
      </c>
      <c r="D25">
        <f>D23*PI()*D24^2</f>
        <v/>
      </c>
      <c r="E25">
        <f>E23*PI()*E24^2</f>
        <v/>
      </c>
      <c r="F25">
        <f>F23*PI()*F24^2</f>
        <v/>
      </c>
      <c r="G25">
        <f>G23*PI()*G24^2</f>
        <v/>
      </c>
      <c r="H25">
        <f>H23*PI()*H24^2</f>
        <v/>
      </c>
      <c r="AE25" s="5" t="inlineStr">
        <is>
          <t>V0 (mm)^3</t>
        </is>
      </c>
      <c r="AF25" s="14" t="inlineStr">
        <is>
          <t>Ignore</t>
        </is>
      </c>
    </row>
    <row r="26">
      <c r="A26" s="5" t="inlineStr">
        <is>
          <t>LF(mm)</t>
        </is>
      </c>
      <c r="B26" s="14" t="inlineStr">
        <is>
          <t>Ignore</t>
        </is>
      </c>
      <c r="C26">
        <f>1.3*3</f>
        <v/>
      </c>
      <c r="D26">
        <f>1.3*3</f>
        <v/>
      </c>
      <c r="E26">
        <f>1.3*3</f>
        <v/>
      </c>
      <c r="F26">
        <f>1.3*3</f>
        <v/>
      </c>
      <c r="G26">
        <f>1.3*3</f>
        <v/>
      </c>
      <c r="H26">
        <f>1.3*3</f>
        <v/>
      </c>
      <c r="AE26" s="5" t="inlineStr">
        <is>
          <t>LF(mm)</t>
        </is>
      </c>
      <c r="AF26" s="14" t="inlineStr">
        <is>
          <t>Ignore</t>
        </is>
      </c>
    </row>
    <row r="27">
      <c r="A27" s="5" t="inlineStr">
        <is>
          <t>Phi</t>
        </is>
      </c>
      <c r="B27" s="14" t="inlineStr">
        <is>
          <t>Ignore</t>
        </is>
      </c>
      <c r="C27">
        <f>C25/(PI()*C24^2*C26)</f>
        <v/>
      </c>
      <c r="D27">
        <f>D25/(PI()*D24^2*D26)</f>
        <v/>
      </c>
      <c r="E27">
        <f>E25/(PI()*E24^2*E26)</f>
        <v/>
      </c>
      <c r="F27">
        <f>F25/(PI()*F24^2*F26)</f>
        <v/>
      </c>
      <c r="G27">
        <f>G25/(PI()*G24^2*G26)</f>
        <v/>
      </c>
      <c r="H27">
        <f>H25/(PI()*H24^2*H26)</f>
        <v/>
      </c>
      <c r="AE27" s="5" t="inlineStr">
        <is>
          <t>Phi</t>
        </is>
      </c>
      <c r="AF27" s="14" t="inlineStr">
        <is>
          <t>Ignore</t>
        </is>
      </c>
    </row>
    <row r="28">
      <c r="A28" s="5" t="inlineStr">
        <is>
          <t>lambda_Z</t>
        </is>
      </c>
      <c r="B28" s="16" t="inlineStr">
        <is>
          <t>From Clasen-data: Boger O</t>
        </is>
      </c>
      <c r="C28" s="6" t="n">
        <v>8.35</v>
      </c>
      <c r="D28" s="6" t="n">
        <v>8.35</v>
      </c>
      <c r="E28" s="6" t="n">
        <v>8.35</v>
      </c>
      <c r="F28" s="6" t="n">
        <v>8.35</v>
      </c>
      <c r="G28" s="6" t="n">
        <v>8.35</v>
      </c>
      <c r="H28" s="6" t="n">
        <v>8.35</v>
      </c>
      <c r="I28" t="n">
        <v>4.64</v>
      </c>
      <c r="J28" t="n">
        <v>4.64</v>
      </c>
      <c r="K28" t="n">
        <v>4.64</v>
      </c>
      <c r="L28" t="n">
        <v>4.64</v>
      </c>
      <c r="M28" t="n">
        <v>4.64</v>
      </c>
      <c r="N28" t="n">
        <v>2.01</v>
      </c>
      <c r="O28" t="n">
        <v>2.01</v>
      </c>
      <c r="P28" t="n">
        <v>2.01</v>
      </c>
      <c r="Q28" t="n">
        <v>2.01</v>
      </c>
      <c r="R28" t="n">
        <v>2.01</v>
      </c>
      <c r="S28" t="n">
        <v>2.01</v>
      </c>
      <c r="T28" t="n">
        <v>2.01</v>
      </c>
      <c r="U28" t="n">
        <v>0.64</v>
      </c>
      <c r="V28" t="n">
        <v>0.64</v>
      </c>
      <c r="W28" t="n">
        <v>0.64</v>
      </c>
      <c r="X28" t="n">
        <v>0.64</v>
      </c>
      <c r="Y28" t="n">
        <v>0.64</v>
      </c>
      <c r="Z28" t="n">
        <v>4.18</v>
      </c>
      <c r="AA28" t="n">
        <v>4.18</v>
      </c>
      <c r="AB28" t="n">
        <v>4.18</v>
      </c>
      <c r="AC28" t="n">
        <v>4.18</v>
      </c>
      <c r="AD28" t="n">
        <v>4.18</v>
      </c>
      <c r="AE28" s="5" t="inlineStr">
        <is>
          <t>lambda_Z</t>
        </is>
      </c>
      <c r="AF28" s="16" t="inlineStr">
        <is>
          <t>From Clasen-data: DEP O</t>
        </is>
      </c>
      <c r="AG28" t="n">
        <v>0.01017</v>
      </c>
      <c r="AH28" t="n">
        <v>0.01017</v>
      </c>
      <c r="AI28" t="n">
        <v>0.01017</v>
      </c>
      <c r="AJ28" t="n">
        <v>0.01017</v>
      </c>
      <c r="AK28" t="n">
        <v>0.0057</v>
      </c>
      <c r="AL28" t="n">
        <v>0.0057</v>
      </c>
      <c r="AM28" t="n">
        <v>0.0057</v>
      </c>
      <c r="AN28" t="n">
        <v>0.0057</v>
      </c>
    </row>
    <row r="29">
      <c r="A29" s="5" t="inlineStr">
        <is>
          <t>[eta]_0</t>
        </is>
      </c>
      <c r="B29" s="16" t="inlineStr">
        <is>
          <t>From Clasen-data: Boger AG</t>
        </is>
      </c>
      <c r="C29" s="14" t="n">
        <v>150</v>
      </c>
      <c r="D29" s="14" t="n">
        <v>150</v>
      </c>
      <c r="E29" s="14" t="n">
        <v>150</v>
      </c>
      <c r="F29" s="14" t="n">
        <v>150</v>
      </c>
      <c r="G29" s="14" t="n">
        <v>150</v>
      </c>
      <c r="H29" s="14" t="n">
        <v>150</v>
      </c>
      <c r="I29" t="n">
        <v>121.1</v>
      </c>
      <c r="J29" t="n">
        <v>121.1</v>
      </c>
      <c r="K29" t="n">
        <v>121.1</v>
      </c>
      <c r="L29" t="n">
        <v>121.1</v>
      </c>
      <c r="M29" t="n">
        <v>121.1</v>
      </c>
      <c r="N29" t="n">
        <v>82.2</v>
      </c>
      <c r="O29" t="n">
        <v>82.2</v>
      </c>
      <c r="P29" t="n">
        <v>82.2</v>
      </c>
      <c r="Q29" t="n">
        <v>82.2</v>
      </c>
      <c r="R29" t="n">
        <v>82.2</v>
      </c>
      <c r="S29" t="n">
        <v>82.2</v>
      </c>
      <c r="T29" t="n">
        <v>82.2</v>
      </c>
      <c r="U29" t="n">
        <v>63.7</v>
      </c>
      <c r="V29" t="n">
        <v>63.7</v>
      </c>
      <c r="W29" t="n">
        <v>63.7</v>
      </c>
      <c r="X29" t="n">
        <v>63.7</v>
      </c>
      <c r="Y29" t="n">
        <v>63.7</v>
      </c>
      <c r="Z29" t="n">
        <v>125</v>
      </c>
      <c r="AA29" t="n">
        <v>125</v>
      </c>
      <c r="AB29" t="n">
        <v>125</v>
      </c>
      <c r="AC29" t="n">
        <v>125</v>
      </c>
      <c r="AD29" t="n">
        <v>125</v>
      </c>
      <c r="AE29" s="5" t="inlineStr">
        <is>
          <t>[eta]_0</t>
        </is>
      </c>
      <c r="AF29" s="16" t="inlineStr">
        <is>
          <t>From Clasen-data: DEP AG</t>
        </is>
      </c>
      <c r="AG29" t="n">
        <v>601</v>
      </c>
      <c r="AH29" t="n">
        <v>601</v>
      </c>
      <c r="AI29" t="n">
        <v>601</v>
      </c>
      <c r="AJ29" t="n">
        <v>601</v>
      </c>
      <c r="AK29" t="n">
        <v>464</v>
      </c>
      <c r="AL29" t="n">
        <v>464</v>
      </c>
      <c r="AM29" t="n">
        <v>464</v>
      </c>
      <c r="AN29" t="n">
        <v>464</v>
      </c>
    </row>
    <row r="30">
      <c r="A30" s="5" t="inlineStr">
        <is>
          <t>KM</t>
        </is>
      </c>
      <c r="B30" s="16" t="inlineStr">
        <is>
          <t>From Clasen-data: Boger AI</t>
        </is>
      </c>
      <c r="C30" s="14" t="n">
        <v>5</v>
      </c>
      <c r="D30" s="14" t="n">
        <v>5</v>
      </c>
      <c r="E30" s="14" t="n">
        <v>5</v>
      </c>
      <c r="F30" s="14" t="n">
        <v>5</v>
      </c>
      <c r="G30" s="14" t="n">
        <v>5</v>
      </c>
      <c r="H30" s="14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s="5" t="inlineStr">
        <is>
          <t>KM</t>
        </is>
      </c>
      <c r="AF30" s="16" t="inlineStr">
        <is>
          <t>From Clasen-data: DEP AI</t>
        </is>
      </c>
      <c r="AG30" t="n">
        <v>0.35</v>
      </c>
      <c r="AH30" t="n">
        <v>0.35</v>
      </c>
      <c r="AI30" t="n">
        <v>0.35</v>
      </c>
      <c r="AJ30" t="n">
        <v>0.35</v>
      </c>
      <c r="AK30" t="n">
        <v>0.35</v>
      </c>
      <c r="AL30" t="n">
        <v>0.35</v>
      </c>
      <c r="AM30" t="n">
        <v>0.35</v>
      </c>
      <c r="AN30" t="n">
        <v>0.35</v>
      </c>
    </row>
    <row r="31">
      <c r="A31" s="5" t="inlineStr">
        <is>
          <t>c/c*_KM</t>
        </is>
      </c>
      <c r="B31" s="16" t="inlineStr">
        <is>
          <t>Calculated</t>
        </is>
      </c>
      <c r="C31" s="14">
        <f>C8/1000000*C29*C30*EXP(1)</f>
        <v/>
      </c>
      <c r="D31" s="14">
        <f>D8/1000000*D29*D30*EXP(1)</f>
        <v/>
      </c>
      <c r="E31" s="14">
        <f>E8/1000000*E29*E30*EXP(1)</f>
        <v/>
      </c>
      <c r="F31" s="14">
        <f>F8/1000000*F29*F30*EXP(1)</f>
        <v/>
      </c>
      <c r="G31" s="14">
        <f>G8/1000000*G29*G30*EXP(1)</f>
        <v/>
      </c>
      <c r="H31" s="14">
        <f>H8/1000000*H29*H30*EXP(1)</f>
        <v/>
      </c>
      <c r="I31" s="14">
        <f>I8/1000000*I29*I30*EXP(1)</f>
        <v/>
      </c>
      <c r="J31" s="14">
        <f>J8/1000000*J29*J30*EXP(1)</f>
        <v/>
      </c>
      <c r="K31" s="14">
        <f>K8/1000000*K29*K30*EXP(1)</f>
        <v/>
      </c>
      <c r="L31" s="14">
        <f>L8/1000000*L29*L30*EXP(1)</f>
        <v/>
      </c>
      <c r="M31" s="14">
        <f>M8/1000000*M29*M30*EXP(1)</f>
        <v/>
      </c>
      <c r="N31" s="14">
        <f>N8/1000000*N29*N30*EXP(1)</f>
        <v/>
      </c>
      <c r="O31" s="14">
        <f>O8/1000000*O29*O30*EXP(1)</f>
        <v/>
      </c>
      <c r="P31" s="14">
        <f>P8/1000000*P29*P30*EXP(1)</f>
        <v/>
      </c>
      <c r="Q31" s="14">
        <f>Q8/1000000*Q29*Q30*EXP(1)</f>
        <v/>
      </c>
      <c r="R31" s="14">
        <f>R8/1000000*R29*R30*EXP(1)</f>
        <v/>
      </c>
      <c r="S31" s="14">
        <f>S8/1000000*S29*S30*EXP(1)</f>
        <v/>
      </c>
      <c r="T31" s="14">
        <f>T8/1000000*T29*T30*EXP(1)</f>
        <v/>
      </c>
      <c r="U31" s="14">
        <f>U8/1000000*U29*U30*EXP(1)</f>
        <v/>
      </c>
      <c r="V31" s="14">
        <f>V8/1000000*V29*V30*EXP(1)</f>
        <v/>
      </c>
      <c r="W31" s="14">
        <f>W8/1000000*W29*W30*EXP(1)</f>
        <v/>
      </c>
      <c r="X31" s="14">
        <f>X8/1000000*X29*X30*EXP(1)</f>
        <v/>
      </c>
      <c r="Y31" s="14">
        <f>Y8/1000000*Y29*Y30*EXP(1)</f>
        <v/>
      </c>
      <c r="Z31" s="14">
        <f>Z8/1000000*Z29*Z30*EXP(1)</f>
        <v/>
      </c>
      <c r="AA31" s="14">
        <f>AA8/1000000*AA29*AA30*EXP(1)</f>
        <v/>
      </c>
      <c r="AB31" s="14">
        <f>AB8/1000000*AB29*AB30*EXP(1)</f>
        <v/>
      </c>
      <c r="AC31" s="14">
        <f>AC8/1000000*AC29*AC30*EXP(1)</f>
        <v/>
      </c>
      <c r="AD31" s="14">
        <f>AD8/1000000*AD29*AD30*EXP(1)</f>
        <v/>
      </c>
      <c r="AE31" s="5" t="inlineStr">
        <is>
          <t>c/c*_KM</t>
        </is>
      </c>
      <c r="AF31" s="16" t="inlineStr">
        <is>
          <t>Calculated</t>
        </is>
      </c>
      <c r="AG31" s="14">
        <f>AG8/1000000*AG29*AG30*EXP(1)</f>
        <v/>
      </c>
      <c r="AH31" s="14">
        <f>AH8/1000000*AH29*AH30*EXP(1)</f>
        <v/>
      </c>
      <c r="AI31" s="14">
        <f>AI8/1000000*AI29*AI30*EXP(1)</f>
        <v/>
      </c>
      <c r="AJ31" s="14">
        <f>AJ8/1000000*AJ29*AJ30*EXP(1)</f>
        <v/>
      </c>
      <c r="AK31" s="14">
        <f>AK8/1000000*AK29*AK30*EXP(1)</f>
        <v/>
      </c>
      <c r="AL31" s="14">
        <f>AL8/1000000*AL29*AL30*EXP(1)</f>
        <v/>
      </c>
      <c r="AM31" s="14">
        <f>AM8/1000000*AM29*AM30*EXP(1)</f>
        <v/>
      </c>
      <c r="AN31" s="14">
        <f>AN8/1000000*AN29*AN30*EXP(1)</f>
        <v/>
      </c>
    </row>
    <row r="32">
      <c r="A32" t="inlineStr">
        <is>
          <t>R_ve (D_ve/D0, Fig 10 ~const)</t>
        </is>
      </c>
      <c r="B32" s="16" t="inlineStr">
        <is>
          <t>From Clasen-data: Boger U</t>
        </is>
      </c>
      <c r="C32" t="n">
        <v>0.4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0.3</v>
      </c>
      <c r="J32" t="n">
        <v>0.3</v>
      </c>
      <c r="K32" t="n">
        <v>0.3</v>
      </c>
      <c r="L32" t="n">
        <v>0.3</v>
      </c>
      <c r="M32" t="n">
        <v>0.3</v>
      </c>
      <c r="N32" t="n">
        <v>0.3</v>
      </c>
      <c r="O32" t="n">
        <v>0.3</v>
      </c>
      <c r="P32" t="n">
        <v>0.3</v>
      </c>
      <c r="Q32" t="n">
        <v>0.3</v>
      </c>
      <c r="R32" t="n">
        <v>0.3</v>
      </c>
      <c r="S32" t="n">
        <v>0.3</v>
      </c>
      <c r="T32" t="n">
        <v>0.3</v>
      </c>
      <c r="U32" t="n">
        <v>0.3</v>
      </c>
      <c r="V32" t="n">
        <v>0.3</v>
      </c>
      <c r="W32" t="n">
        <v>0.3</v>
      </c>
      <c r="X32" t="n">
        <v>0.3</v>
      </c>
      <c r="Y32" t="n">
        <v>0.3</v>
      </c>
      <c r="Z32" t="n">
        <v>0.3</v>
      </c>
      <c r="AA32" t="n">
        <v>0.3</v>
      </c>
      <c r="AB32" t="n">
        <v>0.3</v>
      </c>
      <c r="AC32" t="n">
        <v>0.3</v>
      </c>
      <c r="AD32" t="n">
        <v>0.3</v>
      </c>
      <c r="AE32" t="inlineStr">
        <is>
          <t>R_ve (D_ve/D0, Fig 10 ~const)</t>
        </is>
      </c>
      <c r="AF32" s="16" t="inlineStr">
        <is>
          <t>From Clasen-data: DEP U</t>
        </is>
      </c>
      <c r="AG32" t="n">
        <v>0.4</v>
      </c>
      <c r="AH32" t="n">
        <v>0.4</v>
      </c>
      <c r="AI32" t="n">
        <v>0.4</v>
      </c>
      <c r="AJ32" t="n">
        <v>0.4</v>
      </c>
      <c r="AK32" t="n">
        <v>0.4</v>
      </c>
      <c r="AL32" t="n">
        <v>0.4</v>
      </c>
      <c r="AM32" t="n">
        <v>0.4</v>
      </c>
      <c r="AN32" t="n">
        <v>0.4</v>
      </c>
    </row>
    <row r="33">
      <c r="A33" t="inlineStr">
        <is>
          <t>h1 (mm)</t>
        </is>
      </c>
      <c r="B33" s="16" t="inlineStr">
        <is>
          <t>Calculated</t>
        </is>
      </c>
      <c r="C33">
        <f>C16*C32</f>
        <v/>
      </c>
      <c r="D33">
        <f>D16*D32</f>
        <v/>
      </c>
      <c r="E33">
        <f>E16*E32</f>
        <v/>
      </c>
      <c r="F33">
        <f>F16*F32</f>
        <v/>
      </c>
      <c r="G33">
        <f>G16*G32</f>
        <v/>
      </c>
      <c r="H33">
        <f>H16*H32</f>
        <v/>
      </c>
      <c r="I33">
        <f>I16*I32</f>
        <v/>
      </c>
      <c r="J33">
        <f>J16*J32</f>
        <v/>
      </c>
      <c r="K33">
        <f>K16*K32</f>
        <v/>
      </c>
      <c r="L33">
        <f>L16*L32</f>
        <v/>
      </c>
      <c r="M33">
        <f>M16*M32</f>
        <v/>
      </c>
      <c r="N33">
        <f>N16*N32</f>
        <v/>
      </c>
      <c r="O33">
        <f>O16*O32</f>
        <v/>
      </c>
      <c r="P33">
        <f>P16*P32</f>
        <v/>
      </c>
      <c r="Q33">
        <f>Q16*Q32</f>
        <v/>
      </c>
      <c r="R33">
        <f>R16*R32</f>
        <v/>
      </c>
      <c r="S33">
        <f>S16*S32</f>
        <v/>
      </c>
      <c r="T33">
        <f>T16*T32</f>
        <v/>
      </c>
      <c r="U33">
        <f>U16*U32</f>
        <v/>
      </c>
      <c r="V33">
        <f>V16*V32</f>
        <v/>
      </c>
      <c r="W33">
        <f>W16*W32</f>
        <v/>
      </c>
      <c r="X33">
        <f>X16*X32</f>
        <v/>
      </c>
      <c r="Y33">
        <f>Y16*Y32</f>
        <v/>
      </c>
      <c r="Z33">
        <f>Z16*Z32</f>
        <v/>
      </c>
      <c r="AA33">
        <f>AA16*AA32</f>
        <v/>
      </c>
      <c r="AB33">
        <f>AB16*AB32</f>
        <v/>
      </c>
      <c r="AC33">
        <f>AC16*AC32</f>
        <v/>
      </c>
      <c r="AD33">
        <f>AD16*AD32</f>
        <v/>
      </c>
      <c r="AE33" t="inlineStr">
        <is>
          <t>h1 (mm)</t>
        </is>
      </c>
      <c r="AF33" s="16" t="inlineStr">
        <is>
          <t>Calculated</t>
        </is>
      </c>
      <c r="AG33">
        <f>AG16*AG32</f>
        <v/>
      </c>
      <c r="AH33">
        <f>AH16*AH32</f>
        <v/>
      </c>
      <c r="AI33">
        <f>AI16*AI32</f>
        <v/>
      </c>
      <c r="AJ33">
        <f>AJ16*AJ32</f>
        <v/>
      </c>
      <c r="AK33">
        <f>AK16*AK32</f>
        <v/>
      </c>
      <c r="AL33">
        <f>AL16*AL32</f>
        <v/>
      </c>
      <c r="AM33">
        <f>AM16*AM32</f>
        <v/>
      </c>
      <c r="AN33">
        <f>AN16*AN32</f>
        <v/>
      </c>
    </row>
    <row r="34">
      <c r="A34" t="inlineStr">
        <is>
          <t>De_ve</t>
        </is>
      </c>
      <c r="B34" s="16" t="inlineStr">
        <is>
          <t>Calculated</t>
        </is>
      </c>
      <c r="C34">
        <f>C18/C32</f>
        <v/>
      </c>
      <c r="D34">
        <f>D18/D32</f>
        <v/>
      </c>
      <c r="E34">
        <f>E18/E32</f>
        <v/>
      </c>
      <c r="F34">
        <f>F18/F32</f>
        <v/>
      </c>
      <c r="G34">
        <f>G18/G32</f>
        <v/>
      </c>
      <c r="H34">
        <f>H18/H32</f>
        <v/>
      </c>
      <c r="I34">
        <f>I18/I32</f>
        <v/>
      </c>
      <c r="J34">
        <f>J18/J32</f>
        <v/>
      </c>
      <c r="K34">
        <f>K18/K32</f>
        <v/>
      </c>
      <c r="L34">
        <f>L18/L32</f>
        <v/>
      </c>
      <c r="M34">
        <f>M18/M32</f>
        <v/>
      </c>
      <c r="N34">
        <f>N18/N32</f>
        <v/>
      </c>
      <c r="O34">
        <f>O18/O32</f>
        <v/>
      </c>
      <c r="P34">
        <f>P18/P32</f>
        <v/>
      </c>
      <c r="Q34">
        <f>Q18/Q32</f>
        <v/>
      </c>
      <c r="R34">
        <f>R18/R32</f>
        <v/>
      </c>
      <c r="S34">
        <f>S18/S32</f>
        <v/>
      </c>
      <c r="T34">
        <f>T18/T32</f>
        <v/>
      </c>
      <c r="U34">
        <f>U18/U32</f>
        <v/>
      </c>
      <c r="V34">
        <f>V18/V32</f>
        <v/>
      </c>
      <c r="W34">
        <f>W18/W32</f>
        <v/>
      </c>
      <c r="X34">
        <f>X18/X32</f>
        <v/>
      </c>
      <c r="Y34">
        <f>Y18/Y32</f>
        <v/>
      </c>
      <c r="Z34">
        <f>Z18/Z32</f>
        <v/>
      </c>
      <c r="AA34">
        <f>AA18/AA32</f>
        <v/>
      </c>
      <c r="AB34">
        <f>AB18/AB32</f>
        <v/>
      </c>
      <c r="AC34">
        <f>AC18/AC32</f>
        <v/>
      </c>
      <c r="AD34">
        <f>AD18/AD32</f>
        <v/>
      </c>
      <c r="AE34" t="inlineStr">
        <is>
          <t>De_ve</t>
        </is>
      </c>
      <c r="AF34" s="16" t="inlineStr">
        <is>
          <t>Calculated</t>
        </is>
      </c>
      <c r="AG34">
        <f>AG18/AG32</f>
        <v/>
      </c>
      <c r="AH34">
        <f>AH18/AH32</f>
        <v/>
      </c>
      <c r="AI34">
        <f>AI18/AI32</f>
        <v/>
      </c>
      <c r="AJ34">
        <f>AJ18/AJ32</f>
        <v/>
      </c>
      <c r="AK34">
        <f>AK18/AK32</f>
        <v/>
      </c>
      <c r="AL34">
        <f>AL18/AL32</f>
        <v/>
      </c>
      <c r="AM34">
        <f>AM18/AM32</f>
        <v/>
      </c>
      <c r="AN34">
        <f>AN18/AN32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PS in DOP</t>
        </is>
      </c>
    </row>
    <row r="2">
      <c r="B2" t="inlineStr">
        <is>
          <t>7M</t>
        </is>
      </c>
      <c r="H2" t="inlineStr">
        <is>
          <t>16M</t>
        </is>
      </c>
    </row>
    <row r="3">
      <c r="A3" t="inlineStr">
        <is>
          <t>Mw</t>
        </is>
      </c>
      <c r="B3" t="n">
        <v>6870000</v>
      </c>
      <c r="C3" t="n">
        <v>6870000</v>
      </c>
      <c r="D3" t="n">
        <v>6870000</v>
      </c>
      <c r="E3" t="n">
        <v>6870000</v>
      </c>
      <c r="F3" t="n">
        <v>6870000</v>
      </c>
      <c r="G3" t="n">
        <v>6870000</v>
      </c>
      <c r="H3" t="n">
        <v>16165000</v>
      </c>
      <c r="I3" t="n">
        <v>16165000</v>
      </c>
      <c r="J3" t="n">
        <v>16165000</v>
      </c>
      <c r="K3" t="n">
        <v>16165000</v>
      </c>
      <c r="L3" t="n">
        <v>16165000</v>
      </c>
      <c r="M3" t="n">
        <v>16165000</v>
      </c>
    </row>
    <row r="4">
      <c r="A4" t="inlineStr">
        <is>
          <t>NK</t>
        </is>
      </c>
      <c r="B4">
        <f>B3/742</f>
        <v/>
      </c>
      <c r="C4">
        <f>C3/742</f>
        <v/>
      </c>
      <c r="D4">
        <f>D3/742</f>
        <v/>
      </c>
      <c r="E4">
        <f>E3/742</f>
        <v/>
      </c>
      <c r="F4">
        <f>F3/742</f>
        <v/>
      </c>
      <c r="G4">
        <f>G3/742</f>
        <v/>
      </c>
      <c r="H4">
        <f>H3/742</f>
        <v/>
      </c>
      <c r="I4">
        <f>I3/742</f>
        <v/>
      </c>
      <c r="J4">
        <f>J3/742</f>
        <v/>
      </c>
      <c r="K4">
        <f>K3/742</f>
        <v/>
      </c>
      <c r="L4">
        <f>L3/742</f>
        <v/>
      </c>
      <c r="M4">
        <f>M3/742</f>
        <v/>
      </c>
    </row>
    <row r="5">
      <c r="A5" t="inlineStr">
        <is>
          <t>c (w% = g/100 g)</t>
        </is>
      </c>
      <c r="B5">
        <f>200/1000000*100</f>
        <v/>
      </c>
      <c r="C5">
        <f>200/1000000*100</f>
        <v/>
      </c>
      <c r="D5">
        <f>200/1000000*100</f>
        <v/>
      </c>
      <c r="E5">
        <f>500/1000000*100</f>
        <v/>
      </c>
      <c r="F5">
        <f>500/1000000*100</f>
        <v/>
      </c>
      <c r="G5">
        <f>500/1000000*100</f>
        <v/>
      </c>
      <c r="H5">
        <f>50/1000000*100</f>
        <v/>
      </c>
      <c r="I5">
        <f>50/1000000*100</f>
        <v/>
      </c>
      <c r="J5">
        <f>50/1000000*100</f>
        <v/>
      </c>
      <c r="K5">
        <f>100/1000000*100</f>
        <v/>
      </c>
      <c r="L5">
        <f>100/1000000*100</f>
        <v/>
      </c>
      <c r="M5">
        <f>100/1000000*100</f>
        <v/>
      </c>
    </row>
    <row r="6">
      <c r="A6" t="inlineStr">
        <is>
          <t>rho (kg/cu.m)</t>
        </is>
      </c>
      <c r="B6" t="n">
        <v>981</v>
      </c>
      <c r="C6" t="n">
        <v>981</v>
      </c>
      <c r="D6" t="n">
        <v>981</v>
      </c>
      <c r="E6" t="n">
        <v>981</v>
      </c>
      <c r="F6" t="n">
        <v>981</v>
      </c>
      <c r="G6" t="n">
        <v>981</v>
      </c>
      <c r="H6" t="n">
        <v>981</v>
      </c>
      <c r="I6" t="n">
        <v>981</v>
      </c>
      <c r="J6" t="n">
        <v>981</v>
      </c>
      <c r="K6" t="n">
        <v>981</v>
      </c>
      <c r="L6" t="n">
        <v>981</v>
      </c>
      <c r="M6" t="n">
        <v>981</v>
      </c>
    </row>
    <row r="7">
      <c r="A7" t="inlineStr">
        <is>
          <t>c (g/cu.m)</t>
        </is>
      </c>
      <c r="B7">
        <f>B5/100*B6*1000</f>
        <v/>
      </c>
      <c r="C7">
        <f>C5/100*C6*1000</f>
        <v/>
      </c>
      <c r="D7">
        <f>D5/100*D6*1000</f>
        <v/>
      </c>
      <c r="E7">
        <f>E5/100*E6*1000</f>
        <v/>
      </c>
      <c r="F7">
        <f>F5/100*F6*1000</f>
        <v/>
      </c>
      <c r="G7">
        <f>G5/100*G6*1000</f>
        <v/>
      </c>
      <c r="H7">
        <f>H5/100*H6*1000</f>
        <v/>
      </c>
      <c r="I7">
        <f>I5/100*I6*1000</f>
        <v/>
      </c>
      <c r="J7">
        <f>J5/100*J6*1000</f>
        <v/>
      </c>
      <c r="K7">
        <f>K5/100*K6*1000</f>
        <v/>
      </c>
      <c r="L7">
        <f>L5/100*L6*1000</f>
        <v/>
      </c>
      <c r="M7">
        <f>M5/100*M6*1000</f>
        <v/>
      </c>
    </row>
    <row r="8">
      <c r="A8" t="inlineStr">
        <is>
          <t>c/c*</t>
        </is>
      </c>
      <c r="B8">
        <f>B7/B3*6.023E+23*(0.0000000018*B4^0.5)^3</f>
        <v/>
      </c>
      <c r="C8">
        <f>C7/C3*6.023E+23*(0.0000000018*C4^0.5)^3</f>
        <v/>
      </c>
      <c r="D8">
        <f>D7/D3*6.023E+23*(0.0000000018*D4^0.5)^3</f>
        <v/>
      </c>
      <c r="E8">
        <f>E7/E3*6.023E+23*(0.0000000018*E4^0.5)^3</f>
        <v/>
      </c>
      <c r="F8">
        <f>F7/F3*6.023E+23*(0.0000000018*F4^0.5)^3</f>
        <v/>
      </c>
      <c r="G8">
        <f>G7/G3*6.023E+23*(0.0000000018*G4^0.5)^3</f>
        <v/>
      </c>
      <c r="H8">
        <f>H7/H3*6.023E+23*(0.0000000018*H4^0.5)^3</f>
        <v/>
      </c>
      <c r="I8">
        <f>I7/I3*6.023E+23*(0.0000000018*I4^0.5)^3</f>
        <v/>
      </c>
      <c r="J8">
        <f>J7/J3*6.023E+23*(0.0000000018*J4^0.5)^3</f>
        <v/>
      </c>
      <c r="K8">
        <f>K7/K3*6.023E+23*(0.0000000018*K4^0.5)^3</f>
        <v/>
      </c>
      <c r="L8">
        <f>L7/L3*6.023E+23*(0.0000000018*L4^0.5)^3</f>
        <v/>
      </c>
      <c r="M8">
        <f>M7/M3*6.023E+23*(0.0000000018*M4^0.5)^3</f>
        <v/>
      </c>
    </row>
    <row r="9">
      <c r="A9" t="inlineStr">
        <is>
          <t>eta_s (Pas)</t>
        </is>
      </c>
      <c r="B9" t="n">
        <v>0.057</v>
      </c>
      <c r="C9" t="n">
        <v>0.057</v>
      </c>
      <c r="D9" t="n">
        <v>0.057</v>
      </c>
      <c r="E9" t="n">
        <v>0.057</v>
      </c>
      <c r="F9" t="n">
        <v>0.057</v>
      </c>
      <c r="G9" t="n">
        <v>0.057</v>
      </c>
      <c r="H9" t="n">
        <v>0.057</v>
      </c>
      <c r="I9" t="n">
        <v>0.057</v>
      </c>
      <c r="J9" t="n">
        <v>0.057</v>
      </c>
      <c r="K9" t="n">
        <v>0.057</v>
      </c>
      <c r="L9" t="n">
        <v>0.057</v>
      </c>
      <c r="M9" t="n">
        <v>0.057</v>
      </c>
    </row>
    <row r="10">
      <c r="A10" t="inlineStr">
        <is>
          <t>sigma (N/m)</t>
        </is>
      </c>
      <c r="B10" t="n">
        <v>0.031</v>
      </c>
      <c r="C10" t="n">
        <v>0.031</v>
      </c>
      <c r="D10" t="n">
        <v>0.031</v>
      </c>
      <c r="E10" t="n">
        <v>0.031</v>
      </c>
      <c r="F10" t="n">
        <v>0.031</v>
      </c>
      <c r="G10" t="n">
        <v>0.031</v>
      </c>
      <c r="H10" t="n">
        <v>0.031</v>
      </c>
      <c r="I10" t="n">
        <v>0.031</v>
      </c>
      <c r="J10" t="n">
        <v>0.031</v>
      </c>
      <c r="K10" t="n">
        <v>0.031</v>
      </c>
      <c r="L10" t="n">
        <v>0.031</v>
      </c>
      <c r="M10" t="n">
        <v>0.031</v>
      </c>
    </row>
    <row r="11">
      <c r="A11" t="inlineStr">
        <is>
          <t>eta_0 (Pa s)</t>
        </is>
      </c>
      <c r="B11" t="n">
        <v>0.059</v>
      </c>
      <c r="C11" t="n">
        <v>0.059</v>
      </c>
      <c r="D11" t="n">
        <v>0.059</v>
      </c>
      <c r="E11" t="n">
        <v>0.062</v>
      </c>
      <c r="F11" t="n">
        <v>0.062</v>
      </c>
      <c r="G11" t="n">
        <v>0.062</v>
      </c>
    </row>
    <row r="12">
      <c r="A12" t="inlineStr">
        <is>
          <t>eta_p (Pa s)</t>
        </is>
      </c>
      <c r="B12">
        <f>B11-B9</f>
        <v/>
      </c>
      <c r="C12">
        <f>C11-C9</f>
        <v/>
      </c>
      <c r="D12">
        <f>D11-D9</f>
        <v/>
      </c>
      <c r="E12">
        <f>E11-E9</f>
        <v/>
      </c>
      <c r="F12">
        <f>F11-F9</f>
        <v/>
      </c>
      <c r="G12">
        <f>G11-G9</f>
        <v/>
      </c>
    </row>
    <row r="13">
      <c r="A13" t="inlineStr">
        <is>
          <t>lambda_eta (s)</t>
        </is>
      </c>
      <c r="B13">
        <f>B12/(B7/B3*6.023E+23*1.381E-23*298)</f>
        <v/>
      </c>
      <c r="C13">
        <f>C12/(C7/C3*6.023E+23*1.381E-23*298)</f>
        <v/>
      </c>
      <c r="D13">
        <f>D12/(D7/D3*6.023E+23*1.381E-23*298)</f>
        <v/>
      </c>
      <c r="E13">
        <f>E12/(E7/E3*6.023E+23*1.381E-23*298)</f>
        <v/>
      </c>
      <c r="F13">
        <f>F12/(F7/F3*6.023E+23*1.381E-23*298)</f>
        <v/>
      </c>
      <c r="G13">
        <f>G12/(G7/G3*6.023E+23*1.381E-23*298)</f>
        <v/>
      </c>
      <c r="H13">
        <f>$E13*(H3/$E3)^1.5</f>
        <v/>
      </c>
      <c r="I13">
        <f>$E13*(I3/$E3)^1.5</f>
        <v/>
      </c>
      <c r="J13">
        <f>$E13*(J3/$E3)^1.5</f>
        <v/>
      </c>
      <c r="K13">
        <f>$E13*(K3/$E3)^1.5</f>
        <v/>
      </c>
      <c r="L13">
        <f>$E13*(L3/$E3)^1.5</f>
        <v/>
      </c>
      <c r="M13">
        <f>$E13*(M3/$E3)^1.5</f>
        <v/>
      </c>
    </row>
    <row r="14">
      <c r="A14" t="inlineStr">
        <is>
          <t>lambda_1 (s)</t>
        </is>
      </c>
      <c r="B14">
        <f>B13/1.835</f>
        <v/>
      </c>
      <c r="C14">
        <f>C13/1.835</f>
        <v/>
      </c>
      <c r="D14">
        <f>D13/1.835</f>
        <v/>
      </c>
      <c r="E14">
        <f>E13/1.835</f>
        <v/>
      </c>
      <c r="F14">
        <f>F13/1.835</f>
        <v/>
      </c>
      <c r="G14">
        <f>G13/1.835</f>
        <v/>
      </c>
      <c r="H14">
        <f>H13/1.835</f>
        <v/>
      </c>
      <c r="I14">
        <f>I13/1.835</f>
        <v/>
      </c>
      <c r="J14">
        <f>J13/1.835</f>
        <v/>
      </c>
      <c r="K14">
        <f>K13/1.835</f>
        <v/>
      </c>
      <c r="L14">
        <f>L13/1.835</f>
        <v/>
      </c>
      <c r="M14">
        <f>M13/1.835</f>
        <v/>
      </c>
    </row>
    <row r="15">
      <c r="A15" t="inlineStr">
        <is>
          <t>R0 (mm)</t>
        </is>
      </c>
      <c r="B15">
        <f>C15/3*2</f>
        <v/>
      </c>
      <c r="C15" t="n">
        <v>0.5</v>
      </c>
      <c r="D15">
        <f>C15/3*4</f>
        <v/>
      </c>
      <c r="E15">
        <f>F15/3*2</f>
        <v/>
      </c>
      <c r="F15" t="n">
        <v>0.5</v>
      </c>
      <c r="G15">
        <f>F15/3*4</f>
        <v/>
      </c>
      <c r="H15">
        <f>I15/3*2</f>
        <v/>
      </c>
      <c r="I15" t="n">
        <v>0.5</v>
      </c>
      <c r="J15">
        <f>I15/3*4</f>
        <v/>
      </c>
      <c r="K15">
        <f>L15/3*2</f>
        <v/>
      </c>
      <c r="L15" t="n">
        <v>0.5</v>
      </c>
      <c r="M15">
        <f>L15/3*4</f>
        <v/>
      </c>
    </row>
    <row r="16">
      <c r="A16" t="inlineStr">
        <is>
          <t>lambda_v (s)</t>
        </is>
      </c>
      <c r="B16">
        <f>B9*B15/B10/1000</f>
        <v/>
      </c>
      <c r="C16">
        <f>C9*C15/C10/1000</f>
        <v/>
      </c>
      <c r="D16">
        <f>D9*D15/D10/1000</f>
        <v/>
      </c>
      <c r="E16">
        <f>E9*E15/E10/1000</f>
        <v/>
      </c>
      <c r="F16">
        <f>F9*F15/F10/1000</f>
        <v/>
      </c>
      <c r="G16">
        <f>G9*G15/G10/1000</f>
        <v/>
      </c>
      <c r="H16">
        <f>H9*H15/H10/1000</f>
        <v/>
      </c>
      <c r="I16">
        <f>I9*I15/I10/1000</f>
        <v/>
      </c>
      <c r="J16">
        <f>J9*J15/J10/1000</f>
        <v/>
      </c>
      <c r="K16">
        <f>K9*K15/K10/1000</f>
        <v/>
      </c>
      <c r="L16">
        <f>L9*L15/L10/1000</f>
        <v/>
      </c>
      <c r="M16">
        <f>M9*M15/M10/1000</f>
        <v/>
      </c>
    </row>
    <row r="17">
      <c r="A17" t="inlineStr">
        <is>
          <t>De_v</t>
        </is>
      </c>
      <c r="B17">
        <f>B14/B16</f>
        <v/>
      </c>
      <c r="C17">
        <f>C14/C16</f>
        <v/>
      </c>
      <c r="D17">
        <f>D14/D16</f>
        <v/>
      </c>
      <c r="E17">
        <f>E14/E16</f>
        <v/>
      </c>
      <c r="F17">
        <f>F14/F16</f>
        <v/>
      </c>
      <c r="G17">
        <f>G14/G16</f>
        <v/>
      </c>
      <c r="H17">
        <f>H14/H16</f>
        <v/>
      </c>
      <c r="I17">
        <f>I14/I16</f>
        <v/>
      </c>
      <c r="J17">
        <f>J14/J16</f>
        <v/>
      </c>
      <c r="K17">
        <f>K14/K16</f>
        <v/>
      </c>
      <c r="L17">
        <f>L14/L16</f>
        <v/>
      </c>
      <c r="M17">
        <f>M14/M16</f>
        <v/>
      </c>
    </row>
    <row r="18">
      <c r="A18" t="inlineStr">
        <is>
          <t>lambda_eta/lambda_1</t>
        </is>
      </c>
      <c r="B18">
        <f>B13/B14</f>
        <v/>
      </c>
      <c r="C18">
        <f>C13/C14</f>
        <v/>
      </c>
      <c r="D18">
        <f>D13/D14</f>
        <v/>
      </c>
      <c r="E18">
        <f>E13/E14</f>
        <v/>
      </c>
      <c r="F18">
        <f>F13/F14</f>
        <v/>
      </c>
      <c r="G18">
        <f>G13/G14</f>
        <v/>
      </c>
      <c r="H18">
        <f>H13/H14</f>
        <v/>
      </c>
      <c r="I18">
        <f>I13/I14</f>
        <v/>
      </c>
      <c r="J18">
        <f>J13/J14</f>
        <v/>
      </c>
      <c r="K18">
        <f>K13/K14</f>
        <v/>
      </c>
      <c r="L18">
        <f>L13/L14</f>
        <v/>
      </c>
      <c r="M18">
        <f>M13/M14</f>
        <v/>
      </c>
    </row>
    <row r="19">
      <c r="A19" t="inlineStr">
        <is>
          <t>lambda_e(s)</t>
        </is>
      </c>
      <c r="B19" t="n">
        <v>0.016</v>
      </c>
      <c r="C19" t="n">
        <v>0.018</v>
      </c>
      <c r="D19" t="n">
        <v>0.018</v>
      </c>
      <c r="E19" t="n">
        <v>0.028</v>
      </c>
      <c r="F19" t="n">
        <v>0.028</v>
      </c>
      <c r="G19" t="n">
        <v>0.028</v>
      </c>
      <c r="H19" t="n">
        <v>0.045</v>
      </c>
      <c r="I19" t="n">
        <v>0.048</v>
      </c>
      <c r="J19" t="n">
        <v>0.047</v>
      </c>
      <c r="K19" t="n">
        <v>0.068</v>
      </c>
      <c r="L19" t="n">
        <v>0.078</v>
      </c>
      <c r="M19" t="n">
        <v>0.077</v>
      </c>
    </row>
    <row r="20">
      <c r="A20" t="inlineStr">
        <is>
          <t>strain rate (1/s)</t>
        </is>
      </c>
      <c r="B20">
        <f>2/(3*B19)</f>
        <v/>
      </c>
      <c r="C20">
        <f>2/(3*C19)</f>
        <v/>
      </c>
      <c r="D20">
        <f>2/(3*D19)</f>
        <v/>
      </c>
      <c r="E20">
        <f>2/(3*E19)</f>
        <v/>
      </c>
      <c r="F20">
        <f>2/(3*F19)</f>
        <v/>
      </c>
      <c r="G20">
        <f>2/(3*G19)</f>
        <v/>
      </c>
      <c r="H20">
        <f>2/(3*H19)</f>
        <v/>
      </c>
      <c r="I20">
        <f>2/(3*I19)</f>
        <v/>
      </c>
      <c r="J20">
        <f>2/(3*J19)</f>
        <v/>
      </c>
      <c r="K20">
        <f>2/(3*K19)</f>
        <v/>
      </c>
      <c r="L20">
        <f>2/(3*L19)</f>
        <v/>
      </c>
      <c r="M20">
        <f>2/(3*M19)</f>
        <v/>
      </c>
    </row>
    <row r="21">
      <c r="A21" t="inlineStr">
        <is>
          <t>Wi_e</t>
        </is>
      </c>
      <c r="B21">
        <f>B20*B14</f>
        <v/>
      </c>
      <c r="C21">
        <f>C20*C14</f>
        <v/>
      </c>
      <c r="D21">
        <f>D20*D14</f>
        <v/>
      </c>
      <c r="E21">
        <f>E20*E14</f>
        <v/>
      </c>
      <c r="F21">
        <f>F20*F14</f>
        <v/>
      </c>
      <c r="G21">
        <f>G20*G14</f>
        <v/>
      </c>
      <c r="H21">
        <f>H20*H14</f>
        <v/>
      </c>
      <c r="I21">
        <f>I20*I14</f>
        <v/>
      </c>
      <c r="J21">
        <f>J20*J14</f>
        <v/>
      </c>
      <c r="K21">
        <f>K20*K14</f>
        <v/>
      </c>
      <c r="L21">
        <f>L20*L14</f>
        <v/>
      </c>
      <c r="M21">
        <f>M20*M14</f>
        <v/>
      </c>
    </row>
    <row r="22">
      <c r="A22" t="inlineStr">
        <is>
          <t>R_ve (Fig S2 ~0.6)</t>
        </is>
      </c>
      <c r="B22" t="n">
        <v>0.6</v>
      </c>
      <c r="C22" t="n">
        <v>0.6</v>
      </c>
      <c r="D22" t="n">
        <v>0.6</v>
      </c>
      <c r="E22" t="n">
        <v>0.6</v>
      </c>
      <c r="F22" t="n">
        <v>0.6</v>
      </c>
      <c r="G22" t="n">
        <v>0.6</v>
      </c>
      <c r="H22" t="n">
        <v>0.6</v>
      </c>
      <c r="I22" t="n">
        <v>0.6</v>
      </c>
      <c r="J22" t="n">
        <v>0.6</v>
      </c>
      <c r="K22" t="n">
        <v>0.6</v>
      </c>
      <c r="L22" t="n">
        <v>0.6</v>
      </c>
      <c r="M22" t="n">
        <v>0.6</v>
      </c>
    </row>
    <row r="23">
      <c r="A23" t="inlineStr">
        <is>
          <t>h1 (mm)</t>
        </is>
      </c>
      <c r="B23">
        <f>B15*B22</f>
        <v/>
      </c>
      <c r="C23">
        <f>C15*C22</f>
        <v/>
      </c>
      <c r="D23">
        <f>D15*D22</f>
        <v/>
      </c>
      <c r="E23">
        <f>E15*E22</f>
        <v/>
      </c>
      <c r="F23">
        <f>F15*F22</f>
        <v/>
      </c>
      <c r="G23">
        <f>G15*G22</f>
        <v/>
      </c>
      <c r="H23">
        <f>H15*H22</f>
        <v/>
      </c>
      <c r="I23">
        <f>I15*I22</f>
        <v/>
      </c>
      <c r="J23">
        <f>J15*J22</f>
        <v/>
      </c>
      <c r="K23">
        <f>K15*K22</f>
        <v/>
      </c>
      <c r="L23">
        <f>L15*L22</f>
        <v/>
      </c>
      <c r="M23">
        <f>M15*M22</f>
        <v/>
      </c>
    </row>
    <row r="24">
      <c r="A24" t="inlineStr">
        <is>
          <t>De_ve (visc)</t>
        </is>
      </c>
      <c r="B24">
        <f>B17/B22</f>
        <v/>
      </c>
      <c r="C24">
        <f>C17/C22</f>
        <v/>
      </c>
      <c r="D24">
        <f>D17/D22</f>
        <v/>
      </c>
      <c r="E24">
        <f>E17/E22</f>
        <v/>
      </c>
      <c r="F24">
        <f>F17/F22</f>
        <v/>
      </c>
      <c r="G24">
        <f>G17/G22</f>
        <v/>
      </c>
      <c r="H24">
        <f>H17/H22</f>
        <v/>
      </c>
      <c r="I24">
        <f>I17/I22</f>
        <v/>
      </c>
      <c r="J24">
        <f>J17/J22</f>
        <v/>
      </c>
      <c r="K24">
        <f>K17/K22</f>
        <v/>
      </c>
      <c r="L24">
        <f>L17/L22</f>
        <v/>
      </c>
      <c r="M24">
        <f>M17/M22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5"/>
  <sheetViews>
    <sheetView zoomScale="118" workbookViewId="0">
      <selection activeCell="E8" sqref="E8"/>
    </sheetView>
  </sheetViews>
  <sheetFormatPr baseColWidth="10" defaultRowHeight="16"/>
  <cols>
    <col width="18.5" customWidth="1" style="13" min="1" max="1"/>
  </cols>
  <sheetData>
    <row r="1">
      <c r="A1" t="inlineStr">
        <is>
          <t>Experimental</t>
        </is>
      </c>
    </row>
    <row r="2">
      <c r="B2" t="inlineStr">
        <is>
          <t>PEO_aq</t>
        </is>
      </c>
      <c r="E2" t="inlineStr">
        <is>
          <t>PEO_visc</t>
        </is>
      </c>
      <c r="M2" t="inlineStr">
        <is>
          <t>PEO_visc</t>
        </is>
      </c>
    </row>
    <row r="3">
      <c r="A3" t="inlineStr">
        <is>
          <t>Mw</t>
        </is>
      </c>
      <c r="B3" s="3" t="n">
        <v>4000000</v>
      </c>
      <c r="C3" s="4" t="n"/>
      <c r="E3" s="14" t="n">
        <v>4000000</v>
      </c>
      <c r="L3" t="inlineStr">
        <is>
          <t>Mw</t>
        </is>
      </c>
      <c r="M3" s="14" t="n">
        <v>4000000</v>
      </c>
    </row>
    <row r="4">
      <c r="A4" t="inlineStr">
        <is>
          <t>c (ppm = mg/kg)</t>
        </is>
      </c>
      <c r="B4" s="4" t="n">
        <v>500</v>
      </c>
      <c r="C4" s="4" t="n"/>
      <c r="E4" t="n">
        <v>25</v>
      </c>
      <c r="L4" t="inlineStr">
        <is>
          <t>c (ppm = mg/kg)</t>
        </is>
      </c>
      <c r="M4" t="n">
        <v>25</v>
      </c>
    </row>
    <row r="5">
      <c r="A5" t="inlineStr">
        <is>
          <t>rho (kg/cu.m)</t>
        </is>
      </c>
      <c r="B5" s="4" t="n">
        <v>998</v>
      </c>
      <c r="C5" s="4" t="n"/>
      <c r="E5" t="n">
        <v>1048</v>
      </c>
      <c r="L5" t="inlineStr">
        <is>
          <t>rho (kg/cu.m)</t>
        </is>
      </c>
      <c r="M5" t="n">
        <v>1048</v>
      </c>
    </row>
    <row r="6">
      <c r="A6" t="inlineStr">
        <is>
          <t>c (g/cu.m)</t>
        </is>
      </c>
      <c r="B6" s="4">
        <f>B4/1000*B5</f>
        <v/>
      </c>
      <c r="C6" s="4" t="n"/>
      <c r="E6">
        <f>E4/1000*E5</f>
        <v/>
      </c>
      <c r="L6" t="inlineStr">
        <is>
          <t>c (g/cu.m)</t>
        </is>
      </c>
      <c r="M6">
        <f>M4/1000*M5</f>
        <v/>
      </c>
    </row>
    <row r="7">
      <c r="A7" t="inlineStr">
        <is>
          <t>eta_p (Pa s)</t>
        </is>
      </c>
      <c r="B7" s="3" t="n">
        <v>0.00208</v>
      </c>
      <c r="C7" s="4" t="n"/>
      <c r="E7" s="14" t="n">
        <v>0.0033</v>
      </c>
      <c r="L7" t="inlineStr">
        <is>
          <t>eta_p (Pa s)</t>
        </is>
      </c>
      <c r="M7" s="14" t="n">
        <v>0.0033</v>
      </c>
    </row>
    <row r="8">
      <c r="A8" t="inlineStr">
        <is>
          <t>lambda_eta (ms)</t>
        </is>
      </c>
      <c r="B8" s="3">
        <f>B7/(B6/B3*6.023E+23*1.380649E-23*298)*1000</f>
        <v/>
      </c>
      <c r="C8" s="4" t="n"/>
      <c r="E8" s="14">
        <f>E7/(E6/E3*6.023E+23*1.380649E-23*298)*1000</f>
        <v/>
      </c>
      <c r="L8" t="inlineStr">
        <is>
          <t>lambda_eta (ms)</t>
        </is>
      </c>
      <c r="M8" s="14">
        <f>M7/(M6/M3*6.023E+23*1.380649E-23*298)*1000</f>
        <v/>
      </c>
    </row>
    <row r="9">
      <c r="A9" t="inlineStr">
        <is>
          <t>lambda_1 (ms)</t>
        </is>
      </c>
      <c r="B9" s="3">
        <f>B13/1.835</f>
        <v/>
      </c>
      <c r="C9" s="4" t="n"/>
      <c r="E9" s="14">
        <f>E8/1.835</f>
        <v/>
      </c>
      <c r="L9" t="inlineStr">
        <is>
          <t>lambda_1 (ms)</t>
        </is>
      </c>
      <c r="M9" s="14">
        <f>M8/1.835</f>
        <v/>
      </c>
    </row>
    <row r="10">
      <c r="A10" t="inlineStr">
        <is>
          <t>eta_0 (Pa s)</t>
        </is>
      </c>
      <c r="B10" s="3" t="n">
        <v>0.003</v>
      </c>
      <c r="C10" s="4" t="n"/>
      <c r="E10" s="14" t="n">
        <v>0.248</v>
      </c>
      <c r="L10" t="inlineStr">
        <is>
          <t>eta_0 (Pa s)</t>
        </is>
      </c>
      <c r="M10" s="14" t="n">
        <v>0.248</v>
      </c>
    </row>
    <row r="11">
      <c r="A11" t="inlineStr">
        <is>
          <t>eta_s (Pas)</t>
        </is>
      </c>
      <c r="B11" s="3">
        <f>B10-B7</f>
        <v/>
      </c>
      <c r="C11" s="4" t="n"/>
      <c r="E11" s="14">
        <f>E10-E7</f>
        <v/>
      </c>
      <c r="L11" t="inlineStr">
        <is>
          <t>eta_s (Pas)</t>
        </is>
      </c>
      <c r="M11" s="14">
        <f>M10-M7</f>
        <v/>
      </c>
    </row>
    <row r="12">
      <c r="A12" t="inlineStr">
        <is>
          <t>sigma (N/m)</t>
        </is>
      </c>
      <c r="B12" s="4">
        <f>62.5/1000</f>
        <v/>
      </c>
      <c r="C12" s="4" t="n"/>
      <c r="E12" s="14" t="n">
        <v>0.056</v>
      </c>
      <c r="L12" t="inlineStr">
        <is>
          <t>sigma (N/m)</t>
        </is>
      </c>
      <c r="M12" s="14" t="n">
        <v>0.056</v>
      </c>
    </row>
    <row r="13">
      <c r="A13" t="inlineStr">
        <is>
          <t>c/c*</t>
        </is>
      </c>
      <c r="B13" s="4" t="n"/>
      <c r="C13" s="4" t="n"/>
      <c r="E13" s="14" t="n">
        <v>0.02</v>
      </c>
      <c r="H13" t="inlineStr">
        <is>
          <t>Factor</t>
        </is>
      </c>
      <c r="L13" t="inlineStr">
        <is>
          <t>c/c*</t>
        </is>
      </c>
      <c r="M13" s="14" t="n">
        <v>0.02</v>
      </c>
    </row>
    <row r="14">
      <c r="A14" t="inlineStr">
        <is>
          <t>NK</t>
        </is>
      </c>
      <c r="B14" s="4" t="n"/>
      <c r="C14" s="4" t="n"/>
      <c r="E14" s="14">
        <f>E3/137</f>
        <v/>
      </c>
      <c r="H14" t="n">
        <v>1</v>
      </c>
      <c r="I14" t="n">
        <v>1</v>
      </c>
      <c r="L14" t="inlineStr">
        <is>
          <t>NK</t>
        </is>
      </c>
      <c r="M14" s="14">
        <f>M3/137</f>
        <v/>
      </c>
    </row>
    <row r="15">
      <c r="B15" s="4" t="inlineStr">
        <is>
          <t>h0 (mu-m)</t>
        </is>
      </c>
      <c r="C15" s="4" t="inlineStr">
        <is>
          <t>tau_e (ms)</t>
        </is>
      </c>
      <c r="E15" t="inlineStr">
        <is>
          <t>h0 (mu-m)</t>
        </is>
      </c>
      <c r="F15" t="inlineStr">
        <is>
          <t>tau_e (ms)</t>
        </is>
      </c>
      <c r="G15" t="inlineStr">
        <is>
          <t>Oh0</t>
        </is>
      </c>
      <c r="H15" t="inlineStr">
        <is>
          <t>De_v</t>
        </is>
      </c>
      <c r="I15" t="inlineStr">
        <is>
          <t>Wi_e</t>
        </is>
      </c>
    </row>
    <row r="16">
      <c r="B16" s="4" t="n">
        <v>245.19879</v>
      </c>
      <c r="C16" s="4" t="n">
        <v>12.131915</v>
      </c>
      <c r="E16" t="n">
        <v>257.88022</v>
      </c>
      <c r="F16" t="n">
        <v>15.40862</v>
      </c>
      <c r="G16" s="14">
        <f>$E$11/($E$5*$E$12*E16*0.000001)</f>
        <v/>
      </c>
      <c r="H16" s="14">
        <f>$E$9*0.001/($E$11*E16*0.000001/$E$12)*$H$14</f>
        <v/>
      </c>
      <c r="I16" s="14">
        <f>$E$9/F16*$I$14</f>
        <v/>
      </c>
    </row>
    <row r="17">
      <c r="B17" s="4" t="n">
        <v>277.31714</v>
      </c>
      <c r="C17" s="4" t="n">
        <v>15.6637745</v>
      </c>
      <c r="E17" t="n">
        <v>282.56528</v>
      </c>
      <c r="F17" t="n">
        <v>26.118109</v>
      </c>
      <c r="G17" s="14">
        <f>$E$11/($E$5*$E$12*E17*0.000001)</f>
        <v/>
      </c>
      <c r="H17" s="14">
        <f>$E$9*0.001/($E$11*E17*0.000001/$E$12)*$H$14</f>
        <v/>
      </c>
      <c r="I17" s="14">
        <f>$E$9/F17*$I$14</f>
        <v/>
      </c>
    </row>
    <row r="18">
      <c r="B18" s="4" t="n">
        <v>325.0157</v>
      </c>
      <c r="C18" s="4" t="n">
        <v>18.358616</v>
      </c>
      <c r="E18" t="n">
        <v>329.47986</v>
      </c>
      <c r="F18" t="n">
        <v>17.687658</v>
      </c>
      <c r="G18" s="14">
        <f>$E$11/($E$5*$E$12*E18*0.000001)</f>
        <v/>
      </c>
      <c r="H18" s="14">
        <f>$E$9*0.001/($E$11*E18*0.000001/$E$12)*$H$14</f>
        <v/>
      </c>
      <c r="I18" s="14">
        <f>$E$9/F18*$I$14</f>
        <v/>
      </c>
    </row>
    <row r="19">
      <c r="B19" s="4" t="n">
        <v>442.5608</v>
      </c>
      <c r="C19" s="4" t="n">
        <v>26.270922</v>
      </c>
      <c r="E19" t="n">
        <v>431.1312</v>
      </c>
      <c r="F19" t="n">
        <v>18.208508</v>
      </c>
      <c r="G19" s="14">
        <f>$E$11/($E$5*$E$12*E19*0.000001)</f>
        <v/>
      </c>
      <c r="H19" s="14">
        <f>$E$9*0.001/($E$11*E19*0.000001/$E$12)*$H$14</f>
        <v/>
      </c>
      <c r="I19" s="14">
        <f>$E$9/F19*$I$14</f>
        <v/>
      </c>
    </row>
    <row r="20">
      <c r="B20" s="4" t="n">
        <v>493.5383</v>
      </c>
      <c r="C20" s="4" t="n">
        <v>30.813509</v>
      </c>
      <c r="E20" t="n">
        <v>459.33105</v>
      </c>
      <c r="F20" t="n">
        <v>22.74727</v>
      </c>
      <c r="G20" s="14">
        <f>$E$11/($E$5*$E$12*E20*0.000001)</f>
        <v/>
      </c>
      <c r="H20" s="14">
        <f>$E$9*0.001/($E$11*E20*0.000001/$E$12)*$H$14</f>
        <v/>
      </c>
      <c r="I20" s="14">
        <f>$E$9/F20*$I$14</f>
        <v/>
      </c>
    </row>
    <row r="21">
      <c r="B21" s="4" t="n">
        <v>499.98764</v>
      </c>
      <c r="C21" s="4" t="n">
        <v>38.203377</v>
      </c>
      <c r="E21" t="n">
        <v>507.54565</v>
      </c>
      <c r="F21" t="n">
        <v>26.785614</v>
      </c>
      <c r="G21" s="14">
        <f>$E$11/($E$5*$E$12*E21*0.000001)</f>
        <v/>
      </c>
      <c r="H21" s="14">
        <f>$E$9*0.001/($E$11*E21*0.000001/$E$12)*$H$14</f>
        <v/>
      </c>
      <c r="I21" s="14">
        <f>$E$9/F21*$I$14</f>
        <v/>
      </c>
    </row>
    <row r="22">
      <c r="B22" s="4" t="n">
        <v>606.64636</v>
      </c>
      <c r="C22" s="4" t="n">
        <v>38.47318</v>
      </c>
      <c r="E22" t="n">
        <v>590.70447</v>
      </c>
      <c r="F22" t="n">
        <v>32.719</v>
      </c>
      <c r="G22" s="14">
        <f>$E$11/($E$5*$E$12*E22*0.000001)</f>
        <v/>
      </c>
      <c r="H22" s="14">
        <f>$E$9*0.001/($E$11*E22*0.000001/$E$12)*$H$14</f>
        <v/>
      </c>
      <c r="I22" s="14">
        <f>$E$9/F22*$I$14</f>
        <v/>
      </c>
    </row>
    <row r="23">
      <c r="B23" s="4" t="n">
        <v>671.8362</v>
      </c>
      <c r="C23" s="4" t="n">
        <v>50.91072</v>
      </c>
      <c r="E23" t="n">
        <v>707.3854</v>
      </c>
      <c r="F23" t="n">
        <v>32.234818</v>
      </c>
      <c r="G23" s="14">
        <f>$E$11/($E$5*$E$12*E23*0.000001)</f>
        <v/>
      </c>
      <c r="H23" s="14">
        <f>$E$9*0.001/($E$11*E23*0.000001/$E$12)*$H$14</f>
        <v/>
      </c>
      <c r="I23" s="14">
        <f>$E$9/F23*$I$14</f>
        <v/>
      </c>
    </row>
    <row r="24">
      <c r="B24" s="4" t="n">
        <v>828.2255</v>
      </c>
      <c r="C24" s="4" t="n">
        <v>60.34089</v>
      </c>
      <c r="E24" t="n">
        <v>838.92175</v>
      </c>
      <c r="F24" t="n">
        <v>36.664986</v>
      </c>
      <c r="G24" s="14">
        <f>$E$11/($E$5*$E$12*E24*0.000001)</f>
        <v/>
      </c>
      <c r="H24" s="14">
        <f>$E$9*0.001/($E$11*E24*0.000001/$E$12)*$H$14</f>
        <v/>
      </c>
      <c r="I24" s="14">
        <f>$E$9/F24*$I$14</f>
        <v/>
      </c>
    </row>
    <row r="25">
      <c r="B25" s="4" t="n">
        <v>863.2735</v>
      </c>
      <c r="C25" s="4" t="n">
        <v>58.709488</v>
      </c>
      <c r="E25" t="n">
        <v>850.64764</v>
      </c>
      <c r="F25" t="n">
        <v>34.651833</v>
      </c>
      <c r="G25" s="14">
        <f>$E$11/($E$5*$E$12*E25*0.000001)</f>
        <v/>
      </c>
      <c r="H25" s="14">
        <f>$E$9*0.001/($E$11*E25*0.000001/$E$12)*$H$14</f>
        <v/>
      </c>
      <c r="I25" s="14">
        <f>$E$9/F25*$I$14</f>
        <v/>
      </c>
    </row>
    <row r="26">
      <c r="B26" s="4" t="n">
        <v>1097.7465</v>
      </c>
      <c r="C26" s="4" t="n">
        <v>76.63308000000001</v>
      </c>
      <c r="E26" t="n">
        <v>1142.1499</v>
      </c>
      <c r="F26" t="n">
        <v>40.242374</v>
      </c>
      <c r="G26" s="14">
        <f>$E$11/($E$5*$E$12*E26*0.000001)</f>
        <v/>
      </c>
      <c r="H26" s="14">
        <f>$E$9*0.001/($E$11*E26*0.000001/$E$12)*$H$14</f>
        <v/>
      </c>
      <c r="I26" s="14">
        <f>$E$9/F26*$I$14</f>
        <v/>
      </c>
    </row>
    <row r="27">
      <c r="B27" s="4" t="n">
        <v>1210.7236</v>
      </c>
      <c r="C27" s="4" t="n">
        <v>88.74279</v>
      </c>
      <c r="E27" t="n">
        <v>1360.3489</v>
      </c>
      <c r="F27" t="n">
        <v>44.81304</v>
      </c>
      <c r="G27" s="14">
        <f>$E$11/($E$5*$E$12*E27*0.000001)</f>
        <v/>
      </c>
      <c r="H27" s="14">
        <f>$E$9*0.001/($E$11*E27*0.000001/$E$12)*$H$14</f>
        <v/>
      </c>
      <c r="I27" s="14">
        <f>$E$9/F27*$I$14</f>
        <v/>
      </c>
    </row>
    <row r="28">
      <c r="E28" s="2" t="n">
        <v>271.49048</v>
      </c>
      <c r="F28" s="2" t="n">
        <v>18.882217</v>
      </c>
      <c r="G28" s="14">
        <f>$E$11/($E$5*$E$12*E28*0.000001)</f>
        <v/>
      </c>
      <c r="H28" s="14">
        <f>$E$9*0.001/($E$11*E28*0.000001/$E$12)*$H$14</f>
        <v/>
      </c>
      <c r="I28" s="14">
        <f>$E$9/F28*$I$14</f>
        <v/>
      </c>
    </row>
    <row r="29">
      <c r="E29" s="2" t="n">
        <v>465.45264</v>
      </c>
      <c r="F29" s="2" t="n">
        <v>30.215885</v>
      </c>
      <c r="G29" s="14">
        <f>$E$11/($E$5*$E$12*E29*0.000001)</f>
        <v/>
      </c>
      <c r="H29" s="14">
        <f>$E$9*0.001/($E$11*E29*0.000001/$E$12)*$H$14</f>
        <v/>
      </c>
      <c r="I29" s="14">
        <f>$E$9/F29*$I$14</f>
        <v/>
      </c>
    </row>
    <row r="30">
      <c r="E30" s="2" t="n">
        <v>649.7061</v>
      </c>
      <c r="F30" s="2" t="n">
        <v>41.5482</v>
      </c>
      <c r="G30" s="14">
        <f>$E$11/($E$5*$E$12*E30*0.000001)</f>
        <v/>
      </c>
      <c r="H30" s="14">
        <f>$E$9*0.001/($E$11*E30*0.000001/$E$12)*$H$14</f>
        <v/>
      </c>
      <c r="I30" s="14">
        <f>$E$9/F30*$I$14</f>
        <v/>
      </c>
    </row>
    <row r="31">
      <c r="E31" s="2" t="n">
        <v>1052.3977</v>
      </c>
      <c r="F31" s="2" t="n">
        <v>53.329765</v>
      </c>
      <c r="G31" s="14">
        <f>$E$11/($E$5*$E$12*E31*0.000001)</f>
        <v/>
      </c>
      <c r="H31" s="14">
        <f>$E$9*0.001/($E$11*E31*0.000001/$E$12)*$H$14</f>
        <v/>
      </c>
      <c r="I31" s="14">
        <f>$E$9/F31*$I$14</f>
        <v/>
      </c>
    </row>
    <row r="32">
      <c r="E32" s="2" t="n">
        <v>1367.7031</v>
      </c>
      <c r="F32" s="2" t="n">
        <v>65.5179</v>
      </c>
      <c r="G32" s="14">
        <f>$E$11/($E$5*$E$12*E32*0.000001)</f>
        <v/>
      </c>
      <c r="H32" s="14">
        <f>$E$9*0.001/($E$11*E32*0.000001/$E$12)*$H$14</f>
        <v/>
      </c>
      <c r="I32" s="14">
        <f>$E$9/F32*$I$14</f>
        <v/>
      </c>
    </row>
    <row r="33">
      <c r="E33" s="2" t="n">
        <v>1620.0197</v>
      </c>
      <c r="F33" s="2" t="n">
        <v>71.41579400000001</v>
      </c>
      <c r="G33" s="14">
        <f>$E$11/($E$5*$E$12*E33*0.000001)</f>
        <v/>
      </c>
      <c r="H33" s="14">
        <f>$E$9*0.001/($E$11*E33*0.000001/$E$12)*$H$14</f>
        <v/>
      </c>
      <c r="I33" s="14">
        <f>$E$9/F33*$I$14</f>
        <v/>
      </c>
    </row>
    <row r="34">
      <c r="E34" s="2" t="n">
        <v>1920.864</v>
      </c>
      <c r="F34" s="2" t="n">
        <v>78.15799</v>
      </c>
      <c r="G34" s="14">
        <f>$E$11/($E$5*$E$12*E34*0.000001)</f>
        <v/>
      </c>
      <c r="H34" s="14">
        <f>$E$9*0.001/($E$11*E34*0.000001/$E$12)*$H$14</f>
        <v/>
      </c>
      <c r="I34" s="14">
        <f>$E$9/F34*$I$14</f>
        <v/>
      </c>
    </row>
    <row r="35">
      <c r="E35" s="2" t="n">
        <v>2338.1267</v>
      </c>
      <c r="F35" s="2" t="n">
        <v>89.52283</v>
      </c>
      <c r="G35" s="14">
        <f>$E$11/($E$5*$E$12*E35*0.000001)</f>
        <v/>
      </c>
      <c r="H35" s="14">
        <f>$E$9*0.001/($E$11*E35*0.000001/$E$12)*$H$14</f>
        <v/>
      </c>
      <c r="I35" s="14">
        <f>$E$9/F35*$I$14</f>
        <v/>
      </c>
    </row>
    <row r="36">
      <c r="E36" s="2" t="n">
        <v>2847.677</v>
      </c>
      <c r="F36" s="2" t="n">
        <v>97.96921</v>
      </c>
      <c r="G36" s="14">
        <f>$E$11/($E$5*$E$12*E36*0.000001)</f>
        <v/>
      </c>
      <c r="H36" s="14">
        <f>$E$9*0.001/($E$11*E36*0.000001/$E$12)*$H$14</f>
        <v/>
      </c>
      <c r="I36" s="14">
        <f>$E$9/F36*$I$14</f>
        <v/>
      </c>
    </row>
    <row r="49">
      <c r="A49" t="inlineStr">
        <is>
          <t>Model</t>
        </is>
      </c>
      <c r="B49" t="inlineStr">
        <is>
          <t>FENE-P</t>
        </is>
      </c>
      <c r="F49" t="inlineStr">
        <is>
          <t>C2D2</t>
        </is>
      </c>
    </row>
    <row r="51">
      <c r="A51" t="inlineStr">
        <is>
          <t>Nk</t>
        </is>
      </c>
      <c r="B51" t="n">
        <v>30000</v>
      </c>
      <c r="F51" t="n">
        <v>30000</v>
      </c>
    </row>
    <row r="52">
      <c r="A52" t="inlineStr">
        <is>
          <t>Oh</t>
        </is>
      </c>
      <c r="B52" t="inlineStr">
        <is>
          <t>Inf</t>
        </is>
      </c>
      <c r="F52" t="inlineStr">
        <is>
          <t>Inf</t>
        </is>
      </c>
    </row>
    <row r="53">
      <c r="C53" t="inlineStr">
        <is>
          <t>Wi_e</t>
        </is>
      </c>
      <c r="F53" t="inlineStr">
        <is>
          <t>Wi_e</t>
        </is>
      </c>
    </row>
    <row r="54">
      <c r="B54" t="inlineStr">
        <is>
          <t>De_v</t>
        </is>
      </c>
      <c r="C54" t="inlineStr">
        <is>
          <t>h* = 0.005</t>
        </is>
      </c>
      <c r="D54" t="inlineStr">
        <is>
          <t>h* = 0.25</t>
        </is>
      </c>
      <c r="E54" t="inlineStr">
        <is>
          <t>h* = 0.05</t>
        </is>
      </c>
      <c r="F54" t="inlineStr">
        <is>
          <t>h* = 0.005</t>
        </is>
      </c>
      <c r="G54" t="inlineStr">
        <is>
          <t>h* = 0.25</t>
        </is>
      </c>
      <c r="H54" t="inlineStr">
        <is>
          <t>h* = 0.05</t>
        </is>
      </c>
    </row>
    <row r="55">
      <c r="B55" t="n">
        <v>0.01</v>
      </c>
      <c r="C55" t="n">
        <v>0.8326627731111769</v>
      </c>
      <c r="D55" t="n">
        <v>0.8069322491248077</v>
      </c>
      <c r="F55" t="n">
        <v>0.8157695193252525</v>
      </c>
      <c r="G55" t="n">
        <v>0.04653206087660804</v>
      </c>
      <c r="H55" t="n">
        <v>0.1201245042282156</v>
      </c>
    </row>
    <row r="56">
      <c r="B56" t="n">
        <v>0.01258925411794167</v>
      </c>
      <c r="C56" t="n">
        <v>0.8343998290232811</v>
      </c>
      <c r="D56" t="n">
        <v>0.8056144349589451</v>
      </c>
      <c r="F56" t="n">
        <v>0.813131661980778</v>
      </c>
      <c r="G56" t="n">
        <v>0.04653096945939556</v>
      </c>
      <c r="H56" t="n">
        <v>0.1201249380138567</v>
      </c>
    </row>
    <row r="57">
      <c r="B57" t="n">
        <v>0.01584893192461113</v>
      </c>
      <c r="C57" t="n">
        <v>0.8326712226422333</v>
      </c>
      <c r="D57" t="n">
        <v>0.8064044698452023</v>
      </c>
      <c r="F57" t="n">
        <v>0.8133323063821196</v>
      </c>
      <c r="G57" t="n">
        <v>0.04653005782408357</v>
      </c>
      <c r="H57" t="n">
        <v>0.1201219177703115</v>
      </c>
    </row>
    <row r="58">
      <c r="B58" t="n">
        <v>0.01995262314968879</v>
      </c>
      <c r="C58" t="n">
        <v>0.8336738482463705</v>
      </c>
      <c r="D58" t="n">
        <v>0.8061673509569028</v>
      </c>
      <c r="F58" t="n">
        <v>0.8143619094738163</v>
      </c>
      <c r="G58" t="n">
        <v>0.04653395632319961</v>
      </c>
      <c r="H58" t="n">
        <v>0.1201291614612979</v>
      </c>
    </row>
    <row r="59">
      <c r="B59" t="n">
        <v>0.02511886431509579</v>
      </c>
      <c r="C59" t="n">
        <v>0.8334063747179277</v>
      </c>
      <c r="D59" t="n">
        <v>0.805583274767136</v>
      </c>
      <c r="F59" t="n">
        <v>0.8126432891281163</v>
      </c>
      <c r="G59" t="n">
        <v>0.04652978283915906</v>
      </c>
      <c r="H59" t="n">
        <v>0.1201222442869622</v>
      </c>
    </row>
    <row r="60">
      <c r="B60" t="n">
        <v>0.03162277660168379</v>
      </c>
      <c r="C60" t="n">
        <v>0.8326092307277198</v>
      </c>
      <c r="D60" t="n">
        <v>0.807053987141184</v>
      </c>
      <c r="F60" t="n">
        <v>0.8158903889926945</v>
      </c>
      <c r="G60" t="n">
        <v>0.0465317217810717</v>
      </c>
      <c r="H60" t="n">
        <v>0.1201240297391348</v>
      </c>
    </row>
    <row r="61">
      <c r="B61" t="n">
        <v>0.03981071705534971</v>
      </c>
      <c r="C61" t="n">
        <v>0.8345567375438395</v>
      </c>
      <c r="D61" t="n">
        <v>0.8056578019603713</v>
      </c>
      <c r="F61" t="n">
        <v>0.8132522603015055</v>
      </c>
      <c r="G61" t="n">
        <v>0.04653124264706482</v>
      </c>
      <c r="H61" t="n">
        <v>0.1201254956596851</v>
      </c>
    </row>
    <row r="62">
      <c r="B62" t="n">
        <v>0.05011872336272723</v>
      </c>
      <c r="C62" t="n">
        <v>0.8327304009728863</v>
      </c>
      <c r="D62" t="n">
        <v>0.8062376728081037</v>
      </c>
      <c r="F62" t="n">
        <v>0.8131458471295987</v>
      </c>
      <c r="G62" t="n">
        <v>0.04652993082534255</v>
      </c>
      <c r="H62" t="n">
        <v>0.1201218006608102</v>
      </c>
    </row>
    <row r="63">
      <c r="B63" t="n">
        <v>0.0630957344480193</v>
      </c>
      <c r="C63" t="n">
        <v>0.8334542389629478</v>
      </c>
      <c r="D63" t="n">
        <v>0.8062617722855687</v>
      </c>
      <c r="F63" t="n">
        <v>0.8145448723080069</v>
      </c>
      <c r="G63" t="n">
        <v>0.04653444365594801</v>
      </c>
      <c r="H63" t="n">
        <v>0.1201283747200926</v>
      </c>
    </row>
    <row r="64">
      <c r="B64" t="n">
        <v>0.07943282347242814</v>
      </c>
      <c r="C64" t="n">
        <v>0.8335299194793222</v>
      </c>
      <c r="D64" t="n">
        <v>0.8055533944408851</v>
      </c>
      <c r="F64" t="n">
        <v>0.8126643832372373</v>
      </c>
      <c r="G64" t="n">
        <v>0.04652986839452082</v>
      </c>
      <c r="H64" t="n">
        <v>0.1201224859952246</v>
      </c>
    </row>
    <row r="65">
      <c r="B65" t="n">
        <v>0.1</v>
      </c>
      <c r="C65" t="n">
        <v>0.8325731630149932</v>
      </c>
      <c r="D65" t="n">
        <v>0.807178656955472</v>
      </c>
      <c r="F65" t="n">
        <v>0.815376869618104</v>
      </c>
      <c r="G65" t="n">
        <v>0.04653140863641345</v>
      </c>
      <c r="H65" t="n">
        <v>0.1201235990877443</v>
      </c>
    </row>
    <row r="66">
      <c r="B66" t="n">
        <v>0.1258925411794167</v>
      </c>
      <c r="C66" t="n">
        <v>0.834717165015498</v>
      </c>
      <c r="D66" t="n">
        <v>0.8057089858757499</v>
      </c>
      <c r="F66" t="n">
        <v>0.813382839548323</v>
      </c>
      <c r="G66" t="n">
        <v>0.04653154213346136</v>
      </c>
      <c r="H66" t="n">
        <v>0.1201260976662175</v>
      </c>
    </row>
    <row r="67">
      <c r="B67" t="n">
        <v>0.1584893192461113</v>
      </c>
      <c r="C67" t="n">
        <v>0.832799565605884</v>
      </c>
      <c r="D67" t="n">
        <v>0.806091778545527</v>
      </c>
      <c r="F67" t="n">
        <v>0.8129925264561749</v>
      </c>
      <c r="G67" t="n">
        <v>0.04652982992966469</v>
      </c>
      <c r="H67" t="n">
        <v>0.120121727570962</v>
      </c>
    </row>
    <row r="68">
      <c r="B68" t="n">
        <v>0.1995262314968879</v>
      </c>
      <c r="C68" t="n">
        <v>0.833262995098395</v>
      </c>
      <c r="D68" t="n">
        <v>0.8063608118780428</v>
      </c>
      <c r="F68" t="n">
        <v>0.8147331075109178</v>
      </c>
      <c r="G68" t="n">
        <v>0.04653421175558267</v>
      </c>
      <c r="H68" t="n">
        <v>0.1201276316682825</v>
      </c>
    </row>
    <row r="69">
      <c r="B69" t="n">
        <v>0.251188643150958</v>
      </c>
      <c r="C69" t="n">
        <v>0.8336591696207631</v>
      </c>
      <c r="D69" t="n">
        <v>0.8055359228081728</v>
      </c>
      <c r="F69" t="n">
        <v>0.8127030125875385</v>
      </c>
      <c r="G69" t="n">
        <v>0.04652998004854194</v>
      </c>
      <c r="H69" t="n">
        <v>0.1201227719043226</v>
      </c>
    </row>
    <row r="70">
      <c r="B70" t="n">
        <v>0.3162277660168379</v>
      </c>
      <c r="C70" t="n">
        <v>0.8325534133480168</v>
      </c>
      <c r="D70" t="n">
        <v>0.8073060806875166</v>
      </c>
      <c r="F70" t="n">
        <v>0.8149205140489404</v>
      </c>
      <c r="G70" t="n">
        <v>0.04653112142948331</v>
      </c>
      <c r="H70" t="n">
        <v>0.120123212294662</v>
      </c>
    </row>
    <row r="71">
      <c r="B71" t="n">
        <v>0.3981071705534972</v>
      </c>
      <c r="C71" t="n">
        <v>0.8348808847323683</v>
      </c>
      <c r="D71" t="n">
        <v>0.8057674958673986</v>
      </c>
      <c r="F71" t="n">
        <v>0.8135226422942859</v>
      </c>
      <c r="G71" t="n">
        <v>0.04653186792904482</v>
      </c>
      <c r="H71" t="n">
        <v>0.1201267440557471</v>
      </c>
    </row>
    <row r="72">
      <c r="B72" t="n">
        <v>0.5011872336272722</v>
      </c>
      <c r="C72" t="n">
        <v>0.8328780511031449</v>
      </c>
      <c r="D72" t="n">
        <v>0.8059654992338361</v>
      </c>
      <c r="F72" t="n">
        <v>0.812869871335042</v>
      </c>
      <c r="G72" t="n">
        <v>0.04652975514792394</v>
      </c>
      <c r="H72" t="n">
        <v>0.1201216985228751</v>
      </c>
    </row>
    <row r="73">
      <c r="B73" t="n">
        <v>0.6309573444801932</v>
      </c>
      <c r="C73" t="n">
        <v>0.833098299415975</v>
      </c>
      <c r="D73" t="n">
        <v>0.8064641870153682</v>
      </c>
      <c r="F73" t="n">
        <v>0.814926225038264</v>
      </c>
      <c r="G73" t="n">
        <v>0.04653373936167846</v>
      </c>
      <c r="H73" t="n">
        <v>0.1201269323273327</v>
      </c>
    </row>
    <row r="74">
      <c r="B74" t="n">
        <v>0.7943282347242815</v>
      </c>
      <c r="C74" t="n">
        <v>0.8337940169115441</v>
      </c>
      <c r="D74" t="n">
        <v>0.8055307667828695</v>
      </c>
      <c r="F74" t="n">
        <v>0.8127583690091253</v>
      </c>
      <c r="G74" t="n">
        <v>0.04653011777082817</v>
      </c>
      <c r="H74" t="n">
        <v>0.1201231020636163</v>
      </c>
    </row>
    <row r="75">
      <c r="B75" t="n">
        <v>1</v>
      </c>
      <c r="C75" t="n">
        <v>0.8325662638030369</v>
      </c>
      <c r="D75" t="n">
        <v>0.8073878361023478</v>
      </c>
      <c r="F75" t="n">
        <v>0.8145557027255412</v>
      </c>
      <c r="G75" t="n">
        <v>0.04653086013778786</v>
      </c>
      <c r="H75" t="n">
        <v>0.1201228700183694</v>
      </c>
    </row>
    <row r="76">
      <c r="B76" t="n">
        <v>1.258925411794167</v>
      </c>
      <c r="C76" t="n">
        <v>0.8350772661014479</v>
      </c>
      <c r="D76" t="n">
        <v>0.8059120261030668</v>
      </c>
      <c r="F76" t="n">
        <v>0.8137264995971131</v>
      </c>
      <c r="G76" t="n">
        <v>0.04653222003977991</v>
      </c>
      <c r="H76" t="n">
        <v>0.1201274396407079</v>
      </c>
    </row>
    <row r="77">
      <c r="B77" t="n">
        <v>1.584893192461114</v>
      </c>
      <c r="C77" t="n">
        <v>0.8335746286092816</v>
      </c>
      <c r="D77" t="n">
        <v>0.8073251966675319</v>
      </c>
      <c r="F77" t="n">
        <v>0.8140822738964238</v>
      </c>
      <c r="G77" t="n">
        <v>0.0465297064727052</v>
      </c>
      <c r="H77" t="n">
        <v>0.1201217449448396</v>
      </c>
    </row>
    <row r="78">
      <c r="B78" t="n">
        <v>1.99526231496888</v>
      </c>
      <c r="C78" t="n">
        <v>0.8371126659320962</v>
      </c>
      <c r="D78" t="n">
        <v>0.8082317830109811</v>
      </c>
      <c r="F78" t="n">
        <v>0.8161774482953463</v>
      </c>
      <c r="G78" t="n">
        <v>0.046533292841815</v>
      </c>
      <c r="H78" t="n">
        <v>0.1201264154903272</v>
      </c>
    </row>
    <row r="79">
      <c r="B79" t="n">
        <v>2.51188643150958</v>
      </c>
      <c r="C79" t="n">
        <v>0.8422456203475982</v>
      </c>
      <c r="D79" t="n">
        <v>0.8128233644012406</v>
      </c>
      <c r="F79" t="n">
        <v>0.821838703712661</v>
      </c>
      <c r="G79" t="n">
        <v>0.04653028286410395</v>
      </c>
      <c r="H79" t="n">
        <v>0.1201237927541125</v>
      </c>
    </row>
    <row r="80">
      <c r="B80" t="n">
        <v>3.16227766016838</v>
      </c>
      <c r="C80" t="n">
        <v>0.854008058467849</v>
      </c>
      <c r="D80" t="n">
        <v>0.8214825985930821</v>
      </c>
      <c r="F80" t="n">
        <v>0.8335255316129211</v>
      </c>
      <c r="G80" t="n">
        <v>0.04653062425953509</v>
      </c>
      <c r="H80" t="n">
        <v>0.1201290214390422</v>
      </c>
    </row>
    <row r="81">
      <c r="B81" t="n">
        <v>3.981071705534973</v>
      </c>
      <c r="C81" t="n">
        <v>0.8706522038486492</v>
      </c>
      <c r="D81" t="n">
        <v>0.8341665318106585</v>
      </c>
      <c r="F81" t="n">
        <v>0.8516936065306975</v>
      </c>
      <c r="G81" t="n">
        <v>0.04653259733839001</v>
      </c>
      <c r="H81" t="n">
        <v>0.1203224881601756</v>
      </c>
    </row>
    <row r="82">
      <c r="B82" t="n">
        <v>5.011872336272724</v>
      </c>
      <c r="C82" t="n">
        <v>0.8942563094111238</v>
      </c>
      <c r="D82" t="n">
        <v>0.8551663579887825</v>
      </c>
      <c r="F82" t="n">
        <v>0.8758514123718089</v>
      </c>
      <c r="G82" t="n">
        <v>0.04652968101035757</v>
      </c>
      <c r="H82" t="n">
        <v>0.1209942431422016</v>
      </c>
    </row>
    <row r="83">
      <c r="B83" t="n">
        <v>6.309573444801933</v>
      </c>
      <c r="C83" t="n">
        <v>0.9307181128147559</v>
      </c>
      <c r="D83" t="n">
        <v>0.8817546692691641</v>
      </c>
      <c r="F83" t="n">
        <v>0.9123518201906242</v>
      </c>
      <c r="G83" t="n">
        <v>0.04653286446020822</v>
      </c>
      <c r="H83" t="n">
        <v>0.1227638683123833</v>
      </c>
    </row>
    <row r="84">
      <c r="B84" t="n">
        <v>7.943282347242816</v>
      </c>
      <c r="C84" t="n">
        <v>0.9740881968216447</v>
      </c>
      <c r="D84" t="n">
        <v>0.9228699837937154</v>
      </c>
      <c r="F84" t="n">
        <v>0.9682122077757679</v>
      </c>
      <c r="G84" t="n">
        <v>0.04653045176741413</v>
      </c>
      <c r="H84" t="n">
        <v>0.1256121495434437</v>
      </c>
    </row>
    <row r="85">
      <c r="B85" t="n">
        <v>10</v>
      </c>
      <c r="C85" t="n">
        <v>1.037680947759427</v>
      </c>
      <c r="D85" t="n">
        <v>0.9743895382783975</v>
      </c>
      <c r="F85" t="n">
        <v>1.038151553778867</v>
      </c>
      <c r="G85" t="n">
        <v>0.0465303495650098</v>
      </c>
      <c r="H85" t="n">
        <v>0.1310443815554921</v>
      </c>
    </row>
    <row r="86">
      <c r="B86" t="n">
        <v>12.58925411794167</v>
      </c>
      <c r="C86" t="n">
        <v>1.126127652825986</v>
      </c>
      <c r="D86" t="n">
        <v>1.038722975702735</v>
      </c>
      <c r="F86" t="n">
        <v>1.122544079073793</v>
      </c>
      <c r="G86" t="n">
        <v>0.04653279896424421</v>
      </c>
      <c r="H86" t="n">
        <v>0.1388419311605923</v>
      </c>
    </row>
    <row r="87">
      <c r="B87" t="n">
        <v>15.84893192461114</v>
      </c>
      <c r="C87" t="n">
        <v>1.221781132714234</v>
      </c>
      <c r="D87" t="n">
        <v>1.135947139322846</v>
      </c>
      <c r="F87" t="n">
        <v>1.243256124696547</v>
      </c>
      <c r="G87" t="n">
        <v>0.04703928578116007</v>
      </c>
      <c r="H87" t="n">
        <v>0.1485177760701819</v>
      </c>
    </row>
    <row r="88">
      <c r="B88" t="n">
        <v>19.9526231496888</v>
      </c>
      <c r="C88" t="n">
        <v>1.368979985393775</v>
      </c>
      <c r="D88" t="n">
        <v>1.261957644703365</v>
      </c>
      <c r="F88" t="n">
        <v>1.383402029422511</v>
      </c>
      <c r="G88" t="n">
        <v>0.0484758307500399</v>
      </c>
      <c r="H88" t="n">
        <v>0.163622663656801</v>
      </c>
    </row>
    <row r="89">
      <c r="B89" t="n">
        <v>25.11886431509581</v>
      </c>
      <c r="C89" t="n">
        <v>1.557286699000797</v>
      </c>
      <c r="D89" t="n">
        <v>1.393287764851131</v>
      </c>
      <c r="F89" t="n">
        <v>1.584753268827168</v>
      </c>
      <c r="G89" t="n">
        <v>0.0509688080820646</v>
      </c>
      <c r="H89" t="n">
        <v>0.182033913428352</v>
      </c>
    </row>
    <row r="90">
      <c r="B90" t="n">
        <v>31.62277660168379</v>
      </c>
      <c r="C90" t="n">
        <v>1.79532136355622</v>
      </c>
      <c r="D90" t="n">
        <v>1.576891237187046</v>
      </c>
      <c r="F90" t="n">
        <v>1.838824203102656</v>
      </c>
      <c r="G90" t="n">
        <v>0.05568018922431928</v>
      </c>
      <c r="H90" t="n">
        <v>0.2057448075110967</v>
      </c>
    </row>
    <row r="91">
      <c r="B91" t="n">
        <v>39.81071705534973</v>
      </c>
      <c r="C91" t="n">
        <v>2.095858934495634</v>
      </c>
      <c r="D91" t="n">
        <v>1.818544662266945</v>
      </c>
      <c r="F91" t="n">
        <v>2.15911199245832</v>
      </c>
      <c r="G91" t="n">
        <v>0.06120652285264248</v>
      </c>
      <c r="H91" t="n">
        <v>0.2360474706331044</v>
      </c>
    </row>
    <row r="92">
      <c r="B92" t="n">
        <v>50.11872336272725</v>
      </c>
      <c r="C92" t="n">
        <v>2.474987206945878</v>
      </c>
      <c r="D92" t="n">
        <v>2.124697162142582</v>
      </c>
      <c r="F92" t="n">
        <v>2.562714098337363</v>
      </c>
      <c r="G92" t="n">
        <v>0.06855819851253207</v>
      </c>
      <c r="H92" t="n">
        <v>0.274577723012954</v>
      </c>
    </row>
    <row r="93">
      <c r="B93" t="n">
        <v>63.09573444801933</v>
      </c>
      <c r="C93" t="n">
        <v>2.952959655626526</v>
      </c>
      <c r="D93" t="n">
        <v>2.511023978017963</v>
      </c>
      <c r="F93" t="n">
        <v>3.071155983866158</v>
      </c>
      <c r="G93" t="n">
        <v>0.07814042925432083</v>
      </c>
      <c r="H93" t="n">
        <v>0.3234036141998953</v>
      </c>
    </row>
    <row r="94">
      <c r="B94" t="n">
        <v>79.43282347242817</v>
      </c>
      <c r="C94" t="n">
        <v>3.527106146637075</v>
      </c>
      <c r="D94" t="n">
        <v>2.998066110292058</v>
      </c>
      <c r="F94" t="n">
        <v>3.71153823692934</v>
      </c>
      <c r="G94" t="n">
        <v>0.09047303932572791</v>
      </c>
      <c r="H94" t="n">
        <v>0.3851368864383655</v>
      </c>
    </row>
    <row r="95">
      <c r="B95" t="n">
        <v>100</v>
      </c>
      <c r="C95" t="n">
        <v>4.264735853542046</v>
      </c>
      <c r="D95" t="n">
        <v>3.611790901332949</v>
      </c>
      <c r="F95" t="n">
        <v>4.517981185123688</v>
      </c>
      <c r="G95" t="n">
        <v>0.1062193311305127</v>
      </c>
      <c r="H95" t="n">
        <v>0.4630731542703912</v>
      </c>
    </row>
  </sheetData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5" sqref="A15:XFD15"/>
    </sheetView>
  </sheetViews>
  <sheetFormatPr baseColWidth="10" defaultRowHeight="16"/>
  <cols>
    <col width="28.6640625" customWidth="1" style="13" min="1" max="1"/>
  </cols>
  <sheetData>
    <row r="1">
      <c r="A1" t="inlineStr">
        <is>
          <t>PS in DOP</t>
        </is>
      </c>
    </row>
    <row r="2">
      <c r="B2" s="5" t="inlineStr">
        <is>
          <t>7M</t>
        </is>
      </c>
      <c r="C2" s="5" t="n"/>
      <c r="D2" s="5" t="n"/>
      <c r="E2" s="5" t="n"/>
      <c r="F2" s="5" t="n"/>
      <c r="G2" s="5" t="n"/>
      <c r="H2" s="5" t="inlineStr">
        <is>
          <t>16M</t>
        </is>
      </c>
      <c r="I2" s="5" t="n"/>
    </row>
    <row r="3">
      <c r="A3" s="5" t="inlineStr">
        <is>
          <t>Mw</t>
        </is>
      </c>
      <c r="B3" s="14" t="n">
        <v>6870000</v>
      </c>
      <c r="C3" s="14" t="n">
        <v>6870000</v>
      </c>
      <c r="D3" s="14" t="n">
        <v>6870000</v>
      </c>
      <c r="E3" s="14" t="n">
        <v>6870000</v>
      </c>
      <c r="F3" s="14" t="n">
        <v>6870000</v>
      </c>
      <c r="G3" s="14" t="n">
        <v>6870000</v>
      </c>
      <c r="H3" s="14" t="n">
        <v>16165000</v>
      </c>
      <c r="I3" s="14" t="n">
        <v>16165000</v>
      </c>
      <c r="J3" s="14" t="n">
        <v>16165000</v>
      </c>
      <c r="K3" s="14" t="n">
        <v>16165000</v>
      </c>
      <c r="L3" s="14" t="n">
        <v>16165000</v>
      </c>
      <c r="M3" s="14" t="n">
        <v>16165000</v>
      </c>
    </row>
    <row r="4">
      <c r="A4" s="5" t="inlineStr">
        <is>
          <t>NK</t>
        </is>
      </c>
      <c r="B4" s="14">
        <f>B3/742</f>
        <v/>
      </c>
      <c r="C4" s="14">
        <f>C3/742</f>
        <v/>
      </c>
      <c r="D4" s="14">
        <f>D3/742</f>
        <v/>
      </c>
      <c r="E4" s="14">
        <f>E3/742</f>
        <v/>
      </c>
      <c r="F4" s="14">
        <f>F3/742</f>
        <v/>
      </c>
      <c r="G4" s="14">
        <f>G3/742</f>
        <v/>
      </c>
      <c r="H4" s="14">
        <f>H3/742</f>
        <v/>
      </c>
      <c r="I4" s="14">
        <f>I3/742</f>
        <v/>
      </c>
      <c r="J4" s="14">
        <f>J3/742</f>
        <v/>
      </c>
      <c r="K4" s="14">
        <f>K3/742</f>
        <v/>
      </c>
      <c r="L4" s="14">
        <f>L3/742</f>
        <v/>
      </c>
      <c r="M4" s="14">
        <f>M3/742</f>
        <v/>
      </c>
    </row>
    <row r="5">
      <c r="A5" s="5" t="inlineStr">
        <is>
          <t>c (w% = g/100 g)</t>
        </is>
      </c>
      <c r="B5">
        <f>200/1000000*100</f>
        <v/>
      </c>
      <c r="C5">
        <f>200/1000000*100</f>
        <v/>
      </c>
      <c r="D5">
        <f>200/1000000*100</f>
        <v/>
      </c>
      <c r="E5">
        <f>500/1000000*100</f>
        <v/>
      </c>
      <c r="F5">
        <f>500/1000000*100</f>
        <v/>
      </c>
      <c r="G5">
        <f>500/1000000*100</f>
        <v/>
      </c>
      <c r="H5">
        <f>50/1000000*100</f>
        <v/>
      </c>
      <c r="I5">
        <f>50/1000000*100</f>
        <v/>
      </c>
      <c r="J5">
        <f>50/1000000*100</f>
        <v/>
      </c>
      <c r="K5">
        <f>100/1000000*100</f>
        <v/>
      </c>
      <c r="L5">
        <f>100/1000000*100</f>
        <v/>
      </c>
      <c r="M5">
        <f>100/1000000*100</f>
        <v/>
      </c>
    </row>
    <row r="6">
      <c r="A6" s="5" t="inlineStr">
        <is>
          <t>rho (kg/cu.m)</t>
        </is>
      </c>
      <c r="B6" t="n">
        <v>981</v>
      </c>
      <c r="C6" t="n">
        <v>981</v>
      </c>
      <c r="D6" t="n">
        <v>981</v>
      </c>
      <c r="E6" t="n">
        <v>981</v>
      </c>
      <c r="F6" t="n">
        <v>981</v>
      </c>
      <c r="G6" t="n">
        <v>981</v>
      </c>
      <c r="H6" t="n">
        <v>981</v>
      </c>
      <c r="I6" t="n">
        <v>981</v>
      </c>
      <c r="J6" t="n">
        <v>981</v>
      </c>
      <c r="K6" t="n">
        <v>981</v>
      </c>
      <c r="L6" t="n">
        <v>981</v>
      </c>
      <c r="M6" t="n">
        <v>981</v>
      </c>
    </row>
    <row r="7">
      <c r="A7" s="5" t="inlineStr">
        <is>
          <t>c (g/cu.m)</t>
        </is>
      </c>
      <c r="B7">
        <f>B5/100*B6*1000</f>
        <v/>
      </c>
      <c r="C7">
        <f>C5/100*C6*1000</f>
        <v/>
      </c>
      <c r="D7">
        <f>D5/100*D6*1000</f>
        <v/>
      </c>
      <c r="E7">
        <f>E5/100*E6*1000</f>
        <v/>
      </c>
      <c r="F7">
        <f>F5/100*F6*1000</f>
        <v/>
      </c>
      <c r="G7">
        <f>G5/100*G6*1000</f>
        <v/>
      </c>
      <c r="H7">
        <f>H5/100*H6*1000</f>
        <v/>
      </c>
      <c r="I7">
        <f>I5/100*I6*1000</f>
        <v/>
      </c>
      <c r="J7">
        <f>J5/100*J6*1000</f>
        <v/>
      </c>
      <c r="K7">
        <f>K5/100*K6*1000</f>
        <v/>
      </c>
      <c r="L7">
        <f>L5/100*L6*1000</f>
        <v/>
      </c>
      <c r="M7">
        <f>M5/100*M6*1000</f>
        <v/>
      </c>
    </row>
    <row r="8">
      <c r="A8" s="5" t="inlineStr">
        <is>
          <t>c/c*</t>
        </is>
      </c>
      <c r="B8" s="14">
        <f>B7/B3*6.023E+23*(0.0000000018*B4^0.5)^3</f>
        <v/>
      </c>
      <c r="C8" s="14">
        <f>C7/C3*6.023E+23*(0.0000000018*C4^0.5)^3</f>
        <v/>
      </c>
      <c r="D8" s="14">
        <f>D7/D3*6.023E+23*(0.0000000018*D4^0.5)^3</f>
        <v/>
      </c>
      <c r="E8" s="14">
        <f>E7/E3*6.023E+23*(0.0000000018*E4^0.5)^3</f>
        <v/>
      </c>
      <c r="F8" s="14">
        <f>F7/F3*6.023E+23*(0.0000000018*F4^0.5)^3</f>
        <v/>
      </c>
      <c r="G8" s="14">
        <f>G7/G3*6.023E+23*(0.0000000018*G4^0.5)^3</f>
        <v/>
      </c>
      <c r="H8" s="14">
        <f>H7/H3*6.023E+23*(0.0000000018*H4^0.5)^3</f>
        <v/>
      </c>
      <c r="I8" s="14">
        <f>I7/I3*6.023E+23*(0.0000000018*I4^0.5)^3</f>
        <v/>
      </c>
      <c r="J8" s="14">
        <f>J7/J3*6.023E+23*(0.0000000018*J4^0.5)^3</f>
        <v/>
      </c>
      <c r="K8" s="14">
        <f>K7/K3*6.023E+23*(0.0000000018*K4^0.5)^3</f>
        <v/>
      </c>
      <c r="L8" s="14">
        <f>L7/L3*6.023E+23*(0.0000000018*L4^0.5)^3</f>
        <v/>
      </c>
      <c r="M8" s="14">
        <f>M7/M3*6.023E+23*(0.0000000018*M4^0.5)^3</f>
        <v/>
      </c>
    </row>
    <row r="9">
      <c r="A9" s="5" t="inlineStr">
        <is>
          <t>eta_s (Pas)</t>
        </is>
      </c>
      <c r="B9" s="14" t="n">
        <v>0.057</v>
      </c>
      <c r="C9" s="14" t="n">
        <v>0.057</v>
      </c>
      <c r="D9" s="14" t="n">
        <v>0.057</v>
      </c>
      <c r="E9" s="14" t="n">
        <v>0.057</v>
      </c>
      <c r="F9" s="14" t="n">
        <v>0.057</v>
      </c>
      <c r="G9" s="14" t="n">
        <v>0.057</v>
      </c>
      <c r="H9" s="14" t="n">
        <v>0.057</v>
      </c>
      <c r="I9" s="14" t="n">
        <v>0.057</v>
      </c>
      <c r="J9" s="14" t="n">
        <v>0.057</v>
      </c>
      <c r="K9" s="14" t="n">
        <v>0.057</v>
      </c>
      <c r="L9" s="14" t="n">
        <v>0.057</v>
      </c>
      <c r="M9" s="14" t="n">
        <v>0.057</v>
      </c>
    </row>
    <row r="10">
      <c r="A10" s="5" t="inlineStr">
        <is>
          <t>sigma (N/m)</t>
        </is>
      </c>
      <c r="B10" t="n">
        <v>0.031</v>
      </c>
      <c r="C10" t="n">
        <v>0.031</v>
      </c>
      <c r="D10" t="n">
        <v>0.031</v>
      </c>
      <c r="E10" t="n">
        <v>0.031</v>
      </c>
      <c r="F10" t="n">
        <v>0.031</v>
      </c>
      <c r="G10" t="n">
        <v>0.031</v>
      </c>
      <c r="H10" t="n">
        <v>0.031</v>
      </c>
      <c r="I10" t="n">
        <v>0.031</v>
      </c>
      <c r="J10" t="n">
        <v>0.031</v>
      </c>
      <c r="K10" t="n">
        <v>0.031</v>
      </c>
      <c r="L10" t="n">
        <v>0.031</v>
      </c>
      <c r="M10" t="n">
        <v>0.031</v>
      </c>
    </row>
    <row r="11">
      <c r="A11" s="5" t="inlineStr">
        <is>
          <t>eta_0 (Pa s)</t>
        </is>
      </c>
      <c r="B11" s="14" t="n">
        <v>0.059</v>
      </c>
      <c r="C11" s="14" t="n">
        <v>0.059</v>
      </c>
      <c r="D11" s="14" t="n">
        <v>0.059</v>
      </c>
      <c r="E11" s="14" t="n">
        <v>0.062</v>
      </c>
      <c r="F11" s="14" t="n">
        <v>0.062</v>
      </c>
      <c r="G11" s="14" t="n">
        <v>0.062</v>
      </c>
      <c r="H11" s="14" t="n"/>
      <c r="I11" s="14" t="n"/>
      <c r="J11" s="14" t="n"/>
    </row>
    <row r="12">
      <c r="A12" s="5" t="inlineStr">
        <is>
          <t>eta_p (Pa s)</t>
        </is>
      </c>
      <c r="B12" s="14">
        <f>B11-B9</f>
        <v/>
      </c>
      <c r="C12" s="14">
        <f>C11-C9</f>
        <v/>
      </c>
      <c r="D12" s="14">
        <f>D11-D9</f>
        <v/>
      </c>
      <c r="E12" s="14">
        <f>E11-E9</f>
        <v/>
      </c>
      <c r="F12" s="14">
        <f>F11-F9</f>
        <v/>
      </c>
      <c r="G12" s="14">
        <f>G11-G9</f>
        <v/>
      </c>
      <c r="H12" s="14" t="n"/>
      <c r="I12" s="14" t="n"/>
      <c r="J12" s="14" t="n"/>
      <c r="K12" s="14" t="n"/>
      <c r="L12" s="14" t="n"/>
      <c r="M12" s="14" t="n"/>
    </row>
    <row r="13">
      <c r="A13" s="5" t="inlineStr">
        <is>
          <t>lambda_eta (s)</t>
        </is>
      </c>
      <c r="B13" s="14">
        <f>B12/(B7/B3*6.023E+23*1.381E-23*298)</f>
        <v/>
      </c>
      <c r="C13" s="14">
        <f>C12/(C7/C3*6.023E+23*1.381E-23*298)</f>
        <v/>
      </c>
      <c r="D13" s="14">
        <f>D12/(D7/D3*6.023E+23*1.381E-23*298)</f>
        <v/>
      </c>
      <c r="E13" s="14">
        <f>E12/(E7/E3*6.023E+23*1.381E-23*298)</f>
        <v/>
      </c>
      <c r="F13" s="14">
        <f>F12/(F7/F3*6.023E+23*1.381E-23*298)</f>
        <v/>
      </c>
      <c r="G13" s="14">
        <f>G12/(G7/G3*6.023E+23*1.381E-23*298)</f>
        <v/>
      </c>
      <c r="H13" s="14">
        <f>$E13*(H3/$E3)^1.5</f>
        <v/>
      </c>
      <c r="I13" s="14">
        <f>$E13*(I3/$E3)^1.5</f>
        <v/>
      </c>
      <c r="J13" s="14">
        <f>$E13*(J3/$E3)^1.5</f>
        <v/>
      </c>
      <c r="K13" s="14">
        <f>$E13*(K3/$E3)^1.5</f>
        <v/>
      </c>
      <c r="L13" s="14">
        <f>$E13*(L3/$E3)^1.5</f>
        <v/>
      </c>
      <c r="M13" s="14">
        <f>$E13*(M3/$E3)^1.5</f>
        <v/>
      </c>
    </row>
    <row r="14">
      <c r="A14" s="5" t="inlineStr">
        <is>
          <t>lambda_1 (s)</t>
        </is>
      </c>
      <c r="B14" s="14">
        <f>B13/1.835</f>
        <v/>
      </c>
      <c r="C14" s="14">
        <f>C13/1.835</f>
        <v/>
      </c>
      <c r="D14" s="14">
        <f>D13/1.835</f>
        <v/>
      </c>
      <c r="E14" s="14">
        <f>E13/1.835</f>
        <v/>
      </c>
      <c r="F14" s="14">
        <f>F13/1.835</f>
        <v/>
      </c>
      <c r="G14" s="14">
        <f>G13/1.835</f>
        <v/>
      </c>
      <c r="H14" s="14">
        <f>H13/1.835</f>
        <v/>
      </c>
      <c r="I14" s="14">
        <f>I13/1.835</f>
        <v/>
      </c>
      <c r="J14" s="14">
        <f>J13/1.835</f>
        <v/>
      </c>
      <c r="K14" s="14">
        <f>K13/1.835</f>
        <v/>
      </c>
      <c r="L14" s="14">
        <f>L13/1.835</f>
        <v/>
      </c>
      <c r="M14" s="14">
        <f>M13/1.835</f>
        <v/>
      </c>
    </row>
    <row r="15">
      <c r="A15" s="5" t="inlineStr">
        <is>
          <t>R0 (mm)</t>
        </is>
      </c>
      <c r="B15" s="14">
        <f>C15/3*2</f>
        <v/>
      </c>
      <c r="C15" s="14" t="n">
        <v>0.5</v>
      </c>
      <c r="D15" s="14">
        <f>C15/3*4</f>
        <v/>
      </c>
      <c r="E15" s="14">
        <f>F15/3*2</f>
        <v/>
      </c>
      <c r="F15" s="14" t="n">
        <v>0.5</v>
      </c>
      <c r="G15" s="14">
        <f>F15/3*4</f>
        <v/>
      </c>
      <c r="H15" s="14">
        <f>I15/3*2</f>
        <v/>
      </c>
      <c r="I15" s="14" t="n">
        <v>0.5</v>
      </c>
      <c r="J15" s="14">
        <f>I15/3*4</f>
        <v/>
      </c>
      <c r="K15" s="14">
        <f>L15/3*2</f>
        <v/>
      </c>
      <c r="L15" s="14" t="n">
        <v>0.5</v>
      </c>
      <c r="M15" s="14">
        <f>L15/3*4</f>
        <v/>
      </c>
    </row>
    <row r="16">
      <c r="A16" s="5" t="inlineStr">
        <is>
          <t>lambda_v (s)</t>
        </is>
      </c>
      <c r="B16" s="14">
        <f>B9*B15/B10/1000</f>
        <v/>
      </c>
      <c r="C16" s="14">
        <f>C9*C15/C10/1000</f>
        <v/>
      </c>
      <c r="D16" s="14">
        <f>D9*D15/D10/1000</f>
        <v/>
      </c>
      <c r="E16" s="14">
        <f>E9*E15/E10/1000</f>
        <v/>
      </c>
      <c r="F16" s="14">
        <f>F9*F15/F10/1000</f>
        <v/>
      </c>
      <c r="G16" s="14">
        <f>G9*G15/G10/1000</f>
        <v/>
      </c>
      <c r="H16" s="14">
        <f>H9*H15/H10/1000</f>
        <v/>
      </c>
      <c r="I16" s="14">
        <f>I9*I15/I10/1000</f>
        <v/>
      </c>
      <c r="J16" s="14">
        <f>J9*J15/J10/1000</f>
        <v/>
      </c>
      <c r="K16" s="14">
        <f>K9*K15/K10/1000</f>
        <v/>
      </c>
      <c r="L16" s="14">
        <f>L9*L15/L10/1000</f>
        <v/>
      </c>
      <c r="M16" s="14">
        <f>M9*M15/M10/1000</f>
        <v/>
      </c>
    </row>
    <row r="17">
      <c r="A17" s="5" t="inlineStr">
        <is>
          <t>De_v</t>
        </is>
      </c>
      <c r="B17" s="14">
        <f>B14/B16</f>
        <v/>
      </c>
      <c r="C17" s="14">
        <f>C14/C16</f>
        <v/>
      </c>
      <c r="D17" s="14">
        <f>D14/D16</f>
        <v/>
      </c>
      <c r="E17" s="14">
        <f>E14/E16</f>
        <v/>
      </c>
      <c r="F17" s="14">
        <f>F14/F16</f>
        <v/>
      </c>
      <c r="G17" s="14">
        <f>G14/G16</f>
        <v/>
      </c>
      <c r="H17" s="14">
        <f>H14/H16</f>
        <v/>
      </c>
      <c r="I17" s="14">
        <f>I14/I16</f>
        <v/>
      </c>
      <c r="J17" s="14">
        <f>J14/J16</f>
        <v/>
      </c>
      <c r="K17" s="14">
        <f>K14/K16</f>
        <v/>
      </c>
      <c r="L17" s="14">
        <f>L14/L16</f>
        <v/>
      </c>
      <c r="M17" s="14">
        <f>M14/M16</f>
        <v/>
      </c>
    </row>
    <row r="18">
      <c r="A18" s="5" t="inlineStr">
        <is>
          <t>lambda_eta/lambda_1</t>
        </is>
      </c>
      <c r="B18" s="14">
        <f>B13/B14</f>
        <v/>
      </c>
      <c r="C18" s="14">
        <f>C13/C14</f>
        <v/>
      </c>
      <c r="D18" s="14">
        <f>D13/D14</f>
        <v/>
      </c>
      <c r="E18" s="14">
        <f>E13/E14</f>
        <v/>
      </c>
      <c r="F18" s="14">
        <f>F13/F14</f>
        <v/>
      </c>
      <c r="G18" s="14">
        <f>G13/G14</f>
        <v/>
      </c>
      <c r="H18" s="14">
        <f>H13/H14</f>
        <v/>
      </c>
      <c r="I18" s="14">
        <f>I13/I14</f>
        <v/>
      </c>
      <c r="J18" s="14">
        <f>J13/J14</f>
        <v/>
      </c>
      <c r="K18" s="14">
        <f>K13/K14</f>
        <v/>
      </c>
      <c r="L18" s="14">
        <f>L13/L14</f>
        <v/>
      </c>
      <c r="M18" s="14">
        <f>M13/M14</f>
        <v/>
      </c>
    </row>
    <row r="19">
      <c r="A19" s="5" t="inlineStr">
        <is>
          <t>lambda_e(s)</t>
        </is>
      </c>
      <c r="B19" s="14" t="n">
        <v>0.016</v>
      </c>
      <c r="C19" s="14" t="n">
        <v>0.018</v>
      </c>
      <c r="D19" s="14" t="n">
        <v>0.018</v>
      </c>
      <c r="E19" s="14" t="n">
        <v>0.028</v>
      </c>
      <c r="F19" s="14" t="n">
        <v>0.028</v>
      </c>
      <c r="G19" s="14" t="n">
        <v>0.028</v>
      </c>
      <c r="H19" s="14" t="n">
        <v>0.045</v>
      </c>
      <c r="I19" s="14" t="n">
        <v>0.048</v>
      </c>
      <c r="J19" s="14" t="n">
        <v>0.047</v>
      </c>
      <c r="K19" s="14" t="n">
        <v>0.068</v>
      </c>
      <c r="L19" s="14" t="n">
        <v>0.078</v>
      </c>
      <c r="M19" s="14" t="n">
        <v>0.077</v>
      </c>
    </row>
    <row r="20">
      <c r="A20" s="5" t="inlineStr">
        <is>
          <t>strain rate (1/s)</t>
        </is>
      </c>
      <c r="B20">
        <f>2/(3*B19)</f>
        <v/>
      </c>
      <c r="C20">
        <f>2/(3*C19)</f>
        <v/>
      </c>
      <c r="D20">
        <f>2/(3*D19)</f>
        <v/>
      </c>
      <c r="E20">
        <f>2/(3*E19)</f>
        <v/>
      </c>
      <c r="F20">
        <f>2/(3*F19)</f>
        <v/>
      </c>
      <c r="G20">
        <f>2/(3*G19)</f>
        <v/>
      </c>
      <c r="H20">
        <f>2/(3*H19)</f>
        <v/>
      </c>
      <c r="I20">
        <f>2/(3*I19)</f>
        <v/>
      </c>
      <c r="J20">
        <f>2/(3*J19)</f>
        <v/>
      </c>
      <c r="K20">
        <f>2/(3*K19)</f>
        <v/>
      </c>
      <c r="L20">
        <f>2/(3*L19)</f>
        <v/>
      </c>
      <c r="M20">
        <f>2/(3*M19)</f>
        <v/>
      </c>
    </row>
    <row r="21">
      <c r="A21" s="5" t="inlineStr">
        <is>
          <t>Wi_e</t>
        </is>
      </c>
      <c r="B21" s="14">
        <f>B20*B14</f>
        <v/>
      </c>
      <c r="C21" s="14">
        <f>C20*C14</f>
        <v/>
      </c>
      <c r="D21" s="14">
        <f>D20*D14</f>
        <v/>
      </c>
      <c r="E21" s="14">
        <f>E20*E14</f>
        <v/>
      </c>
      <c r="F21" s="14">
        <f>F20*F14</f>
        <v/>
      </c>
      <c r="G21" s="14">
        <f>G20*G14</f>
        <v/>
      </c>
      <c r="H21" s="14">
        <f>H20*H14</f>
        <v/>
      </c>
      <c r="I21" s="14">
        <f>I20*I14</f>
        <v/>
      </c>
      <c r="J21" s="14">
        <f>J20*J14</f>
        <v/>
      </c>
      <c r="K21" s="14">
        <f>K20*K14</f>
        <v/>
      </c>
      <c r="L21" s="14">
        <f>L20*L14</f>
        <v/>
      </c>
      <c r="M21" s="14">
        <f>M20*M14</f>
        <v/>
      </c>
    </row>
    <row r="22">
      <c r="A22" s="5" t="inlineStr">
        <is>
          <t>[eta] ml/g</t>
        </is>
      </c>
    </row>
    <row r="23">
      <c r="A23" s="5" t="inlineStr">
        <is>
          <t>c/c*_KM</t>
        </is>
      </c>
    </row>
    <row r="26">
      <c r="B26" t="n">
        <v>25.12100142487319</v>
      </c>
      <c r="C26" t="n">
        <v>0.6415309503663852</v>
      </c>
      <c r="E26" t="n">
        <v>25.12100142487325</v>
      </c>
      <c r="F26" t="n">
        <v>0.3665891144950781</v>
      </c>
      <c r="H26" t="n">
        <v>90.67037376082445</v>
      </c>
      <c r="I26" t="n">
        <v>0.8232913268605325</v>
      </c>
      <c r="K26" t="n">
        <v>90.67037376082445</v>
      </c>
      <c r="L26" t="n">
        <v>0.5448251427753524</v>
      </c>
    </row>
    <row r="27">
      <c r="B27" t="n">
        <v>16.74733428324879</v>
      </c>
      <c r="C27" t="n">
        <v>0.5702497336590092</v>
      </c>
      <c r="E27" t="n">
        <v>16.74733428324883</v>
      </c>
      <c r="F27" t="n">
        <v>0.3665891144950781</v>
      </c>
      <c r="H27" t="n">
        <v>60.44691584054963</v>
      </c>
      <c r="I27" t="n">
        <v>0.7718356189317492</v>
      </c>
      <c r="K27" t="n">
        <v>60.44691584054963</v>
      </c>
      <c r="L27" t="n">
        <v>0.4749757654964611</v>
      </c>
    </row>
    <row r="28">
      <c r="B28" t="n">
        <v>12.5605007124366</v>
      </c>
      <c r="C28" t="n">
        <v>0.5702497336590092</v>
      </c>
      <c r="E28" t="n">
        <v>12.56050071243662</v>
      </c>
      <c r="F28" t="n">
        <v>0.3665891144950781</v>
      </c>
      <c r="H28" t="n">
        <v>45.33518688041222</v>
      </c>
      <c r="I28" t="n">
        <v>0.7882576533771056</v>
      </c>
      <c r="K28" t="n">
        <v>45.33518688041222</v>
      </c>
      <c r="L28" t="n">
        <v>0.4811442819314801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"/>
  <sheetViews>
    <sheetView zoomScale="92" zoomScaleNormal="92" workbookViewId="0">
      <selection activeCell="A26" sqref="A26:XFD29"/>
    </sheetView>
  </sheetViews>
  <sheetFormatPr baseColWidth="10" defaultRowHeight="16"/>
  <cols>
    <col width="27.33203125" customWidth="1" style="13" min="8" max="8"/>
    <col width="35.33203125" customWidth="1" style="13" min="9" max="9"/>
    <col width="11" customWidth="1" style="13" min="10" max="11"/>
    <col width="47.83203125" customWidth="1" style="13" min="13" max="13"/>
    <col width="43.6640625" customWidth="1" style="13" min="14" max="14"/>
  </cols>
  <sheetData>
    <row r="1" ht="17" customHeight="1" s="13">
      <c r="A1" s="7" t="inlineStr">
        <is>
          <t>enabled</t>
        </is>
      </c>
      <c r="B1" s="7" t="inlineStr">
        <is>
          <t>sweep_id</t>
        </is>
      </c>
      <c r="C1" s="7" t="inlineStr">
        <is>
          <t>flow_type</t>
        </is>
      </c>
      <c r="D1" s="7" t="inlineStr">
        <is>
          <t>NK</t>
        </is>
      </c>
      <c r="E1" s="7" t="inlineStr">
        <is>
          <t>hK_star</t>
        </is>
      </c>
      <c r="F1" s="7" t="inlineStr">
        <is>
          <t>fe_model</t>
        </is>
      </c>
      <c r="G1" s="7" t="inlineStr">
        <is>
          <t>drag_model</t>
        </is>
      </c>
      <c r="H1" s="7" t="inlineStr">
        <is>
          <t>phi</t>
        </is>
      </c>
      <c r="I1" s="7" t="inlineStr">
        <is>
          <t>De</t>
        </is>
      </c>
      <c r="J1" s="7" t="inlineStr">
        <is>
          <t>Oh</t>
        </is>
      </c>
      <c r="K1" s="7" t="inlineStr">
        <is>
          <t>XR</t>
        </is>
      </c>
      <c r="L1" s="7" t="inlineStr">
        <is>
          <t>folder</t>
        </is>
      </c>
      <c r="M1" s="7" t="inlineStr">
        <is>
          <t xml:space="preserve">out_root </t>
        </is>
      </c>
      <c r="N1" s="7" t="inlineStr">
        <is>
          <t>notes</t>
        </is>
      </c>
    </row>
    <row r="2" customFormat="1" s="2">
      <c r="A2" s="2" t="b">
        <v>0</v>
      </c>
      <c r="B2" s="2" t="n">
        <v>1</v>
      </c>
      <c r="C2" s="2" t="inlineStr">
        <is>
          <t>styext</t>
        </is>
      </c>
      <c r="D2" s="2" t="n">
        <v>3000</v>
      </c>
      <c r="E2" s="2" t="n">
        <v>0.05</v>
      </c>
      <c r="F2" s="2" t="inlineStr">
        <is>
          <t>fenepm</t>
        </is>
      </c>
      <c r="G2" s="2" t="inlineStr">
        <is>
          <t>constant</t>
        </is>
      </c>
      <c r="H2" s="2" t="n">
        <v>0.5</v>
      </c>
      <c r="I2" s="2" t="n">
        <v>1</v>
      </c>
      <c r="M2" s="2" t="inlineStr">
        <is>
          <t>tnwpaper/outputs/generic_behaviour</t>
        </is>
      </c>
    </row>
    <row r="3" customFormat="1" s="2">
      <c r="A3" s="2" t="b">
        <v>0</v>
      </c>
      <c r="B3" s="2" t="n">
        <v>2</v>
      </c>
      <c r="C3" s="2" t="inlineStr">
        <is>
          <t>styext</t>
        </is>
      </c>
      <c r="D3" s="2" t="n">
        <v>3000</v>
      </c>
      <c r="E3" s="2" t="n">
        <v>0.05</v>
      </c>
      <c r="F3" s="2" t="inlineStr">
        <is>
          <t>fenepm</t>
        </is>
      </c>
      <c r="G3" s="2" t="inlineStr">
        <is>
          <t>c2d2</t>
        </is>
      </c>
      <c r="H3" s="2" t="n">
        <v>0.5</v>
      </c>
      <c r="I3" s="2" t="n">
        <v>1</v>
      </c>
      <c r="M3" s="2" t="inlineStr">
        <is>
          <t>tnwpaper/outputs/generic_behaviour</t>
        </is>
      </c>
    </row>
    <row r="4" customFormat="1" s="2">
      <c r="A4" s="2" t="b">
        <v>0</v>
      </c>
      <c r="B4" s="2" t="n">
        <v>3</v>
      </c>
      <c r="C4" s="2" t="inlineStr">
        <is>
          <t>caber</t>
        </is>
      </c>
      <c r="D4" s="2" t="n">
        <v>3000</v>
      </c>
      <c r="E4" s="2" t="n">
        <v>0.05</v>
      </c>
      <c r="F4" s="2" t="inlineStr">
        <is>
          <t>fenepm</t>
        </is>
      </c>
      <c r="G4" s="2" t="inlineStr">
        <is>
          <t>constant</t>
        </is>
      </c>
      <c r="H4" s="2" t="inlineStr">
        <is>
          <t>[0.01, 0.1, 0.5, 1]</t>
        </is>
      </c>
      <c r="I4" s="2" t="inlineStr">
        <is>
          <t>[0.01, 0.03, 0.1, 0.3, 1, 3, 10, 30, 100]</t>
        </is>
      </c>
      <c r="M4" s="2" t="inlineStr">
        <is>
          <t>tnwpaper/outputs/generic_behaviour</t>
        </is>
      </c>
    </row>
    <row r="5" customFormat="1" s="2">
      <c r="A5" s="2" t="b">
        <v>0</v>
      </c>
      <c r="B5" s="2" t="n">
        <v>4</v>
      </c>
      <c r="C5" s="2" t="inlineStr">
        <is>
          <t>caber</t>
        </is>
      </c>
      <c r="D5" s="2" t="n">
        <v>3000</v>
      </c>
      <c r="E5" s="2" t="n">
        <v>0.05</v>
      </c>
      <c r="F5" s="2" t="inlineStr">
        <is>
          <t>fenepm</t>
        </is>
      </c>
      <c r="G5" s="2" t="inlineStr">
        <is>
          <t>c2d2</t>
        </is>
      </c>
      <c r="H5" s="2" t="inlineStr">
        <is>
          <t>[0.01, 0.1, 0.5, 1]</t>
        </is>
      </c>
      <c r="I5" s="2" t="inlineStr">
        <is>
          <t>[0.01, 0.03, 0.1, 0.3, 1, 3, 10, 30, 100]</t>
        </is>
      </c>
      <c r="M5" s="2" t="inlineStr">
        <is>
          <t>tnwpaper/outputs/generic_behaviour</t>
        </is>
      </c>
    </row>
    <row r="6" customFormat="1" s="2">
      <c r="A6" s="2" t="b">
        <v>0</v>
      </c>
      <c r="B6" s="2" t="n">
        <v>5</v>
      </c>
      <c r="C6" s="2" t="inlineStr">
        <is>
          <t>styext</t>
        </is>
      </c>
      <c r="D6" s="2" t="n">
        <v>10000</v>
      </c>
      <c r="E6" s="2" t="n">
        <v>0.05</v>
      </c>
      <c r="F6" s="2" t="inlineStr">
        <is>
          <t>fenepm</t>
        </is>
      </c>
      <c r="G6" s="2" t="inlineStr">
        <is>
          <t>constant</t>
        </is>
      </c>
      <c r="H6" s="2" t="n">
        <v>0.1</v>
      </c>
      <c r="I6" s="2" t="n">
        <v>1</v>
      </c>
      <c r="M6" s="2" t="inlineStr">
        <is>
          <t>tnwpaper/outputs/generic_behaviour</t>
        </is>
      </c>
      <c r="N6" s="2" t="inlineStr">
        <is>
          <t>Effect of NK - large NK</t>
        </is>
      </c>
    </row>
    <row r="7" customFormat="1" s="2">
      <c r="A7" s="2" t="b">
        <v>0</v>
      </c>
      <c r="B7" s="2" t="n">
        <v>6</v>
      </c>
      <c r="C7" s="2" t="inlineStr">
        <is>
          <t>styext</t>
        </is>
      </c>
      <c r="D7" s="2" t="n">
        <v>10000</v>
      </c>
      <c r="E7" s="2" t="n">
        <v>0.05</v>
      </c>
      <c r="F7" s="2" t="inlineStr">
        <is>
          <t>fenepm</t>
        </is>
      </c>
      <c r="G7" s="2" t="inlineStr">
        <is>
          <t>c2d2</t>
        </is>
      </c>
      <c r="H7" s="2" t="n">
        <v>0.1</v>
      </c>
      <c r="I7" s="2" t="n">
        <v>1</v>
      </c>
      <c r="M7" s="2" t="inlineStr">
        <is>
          <t>tnwpaper/outputs/generic_behaviour</t>
        </is>
      </c>
      <c r="N7" s="2" t="inlineStr">
        <is>
          <t>Effect of NK - large NK</t>
        </is>
      </c>
    </row>
    <row r="8" customFormat="1" s="2">
      <c r="A8" s="2" t="b">
        <v>0</v>
      </c>
      <c r="B8" s="2" t="n">
        <v>7</v>
      </c>
      <c r="C8" s="2" t="inlineStr">
        <is>
          <t>caber</t>
        </is>
      </c>
      <c r="D8" s="2" t="n">
        <v>10000</v>
      </c>
      <c r="E8" s="2" t="n">
        <v>0.05</v>
      </c>
      <c r="F8" s="2" t="inlineStr">
        <is>
          <t>fenepm</t>
        </is>
      </c>
      <c r="G8" s="2" t="inlineStr">
        <is>
          <t>constant</t>
        </is>
      </c>
      <c r="H8" s="2" t="n">
        <v>0.1</v>
      </c>
      <c r="I8" s="2" t="inlineStr">
        <is>
          <t>[0.01, 0.03, 0.1, 0.3, 1, 3, 10, 30, 100]</t>
        </is>
      </c>
      <c r="M8" s="2" t="inlineStr">
        <is>
          <t>tnwpaper/outputs/generic_behaviour</t>
        </is>
      </c>
      <c r="N8" s="2" t="inlineStr">
        <is>
          <t>Effect of NK - large NK</t>
        </is>
      </c>
    </row>
    <row r="9" customFormat="1" s="2">
      <c r="A9" s="2" t="b">
        <v>0</v>
      </c>
      <c r="B9" s="2" t="n">
        <v>8</v>
      </c>
      <c r="C9" s="2" t="inlineStr">
        <is>
          <t>caber</t>
        </is>
      </c>
      <c r="D9" s="2" t="n">
        <v>10000</v>
      </c>
      <c r="E9" s="2" t="n">
        <v>0.05</v>
      </c>
      <c r="F9" s="2" t="inlineStr">
        <is>
          <t>fenepm</t>
        </is>
      </c>
      <c r="G9" s="2" t="inlineStr">
        <is>
          <t>c2d2</t>
        </is>
      </c>
      <c r="H9" s="2" t="n">
        <v>0.1</v>
      </c>
      <c r="I9" s="2" t="inlineStr">
        <is>
          <t>[0.01, 0.03, 0.1, 0.3, 1, 3, 10, 30, 100]</t>
        </is>
      </c>
      <c r="M9" s="2" t="inlineStr">
        <is>
          <t>tnwpaper/outputs/generic_behaviour</t>
        </is>
      </c>
      <c r="N9" s="2" t="inlineStr">
        <is>
          <t>Effect of NK - large NK</t>
        </is>
      </c>
    </row>
    <row r="10" customFormat="1" s="2">
      <c r="A10" s="2" t="b">
        <v>0</v>
      </c>
      <c r="B10" s="2" t="n">
        <v>9</v>
      </c>
      <c r="C10" s="2" t="inlineStr">
        <is>
          <t>styext</t>
        </is>
      </c>
      <c r="D10" s="2" t="n">
        <v>1000</v>
      </c>
      <c r="E10" s="2" t="n">
        <v>0.05</v>
      </c>
      <c r="F10" s="2" t="inlineStr">
        <is>
          <t>fenepm</t>
        </is>
      </c>
      <c r="G10" s="2" t="inlineStr">
        <is>
          <t>constant</t>
        </is>
      </c>
      <c r="H10" s="2" t="n">
        <v>0.1</v>
      </c>
      <c r="I10" s="2" t="n">
        <v>1</v>
      </c>
      <c r="M10" s="2" t="inlineStr">
        <is>
          <t>tnwpaper/outputs/generic_behaviour</t>
        </is>
      </c>
      <c r="N10" s="2" t="inlineStr">
        <is>
          <t>Effect of NK - small NK</t>
        </is>
      </c>
    </row>
    <row r="11" customFormat="1" s="2">
      <c r="A11" s="2" t="b">
        <v>0</v>
      </c>
      <c r="B11" s="2" t="n">
        <v>10</v>
      </c>
      <c r="C11" s="2" t="inlineStr">
        <is>
          <t>styext</t>
        </is>
      </c>
      <c r="D11" s="2" t="n">
        <v>1000</v>
      </c>
      <c r="E11" s="2" t="n">
        <v>0.05</v>
      </c>
      <c r="F11" s="2" t="inlineStr">
        <is>
          <t>fenepm</t>
        </is>
      </c>
      <c r="G11" s="2" t="inlineStr">
        <is>
          <t>c2d2</t>
        </is>
      </c>
      <c r="H11" s="2" t="n">
        <v>0.1</v>
      </c>
      <c r="I11" s="2" t="n">
        <v>1</v>
      </c>
      <c r="M11" s="2" t="inlineStr">
        <is>
          <t>tnwpaper/outputs/generic_behaviour</t>
        </is>
      </c>
      <c r="N11" s="2" t="inlineStr">
        <is>
          <t>Effect of NK - small NK</t>
        </is>
      </c>
    </row>
    <row r="12" customFormat="1" s="2">
      <c r="A12" s="2" t="b">
        <v>0</v>
      </c>
      <c r="B12" s="2" t="n">
        <v>11</v>
      </c>
      <c r="C12" s="2" t="inlineStr">
        <is>
          <t>caber</t>
        </is>
      </c>
      <c r="D12" s="2" t="n">
        <v>1000</v>
      </c>
      <c r="E12" s="2" t="n">
        <v>0.05</v>
      </c>
      <c r="F12" s="2" t="inlineStr">
        <is>
          <t>fenepm</t>
        </is>
      </c>
      <c r="G12" s="2" t="inlineStr">
        <is>
          <t>constant</t>
        </is>
      </c>
      <c r="H12" s="2" t="n">
        <v>0.1</v>
      </c>
      <c r="I12" s="2" t="inlineStr">
        <is>
          <t>[0.01, 0.03, 0.1, 0.3, 1, 3, 10, 30, 100]</t>
        </is>
      </c>
      <c r="M12" s="2" t="inlineStr">
        <is>
          <t>tnwpaper/outputs/generic_behaviour</t>
        </is>
      </c>
      <c r="N12" s="2" t="inlineStr">
        <is>
          <t>Effect of NK - small NK</t>
        </is>
      </c>
    </row>
    <row r="13" customFormat="1" s="2">
      <c r="A13" s="2" t="b">
        <v>0</v>
      </c>
      <c r="B13" s="2" t="n">
        <v>12</v>
      </c>
      <c r="C13" s="2" t="inlineStr">
        <is>
          <t>caber</t>
        </is>
      </c>
      <c r="D13" s="2" t="n">
        <v>1000</v>
      </c>
      <c r="E13" s="2" t="n">
        <v>0.05</v>
      </c>
      <c r="F13" s="2" t="inlineStr">
        <is>
          <t>fenepm</t>
        </is>
      </c>
      <c r="G13" s="2" t="inlineStr">
        <is>
          <t>c2d2</t>
        </is>
      </c>
      <c r="H13" s="2" t="n">
        <v>0.1</v>
      </c>
      <c r="I13" s="2" t="inlineStr">
        <is>
          <t>[0.01, 0.03, 0.1, 0.3, 1, 3, 10, 30, 100]</t>
        </is>
      </c>
      <c r="M13" s="2" t="inlineStr">
        <is>
          <t>tnwpaper/outputs/generic_behaviour</t>
        </is>
      </c>
      <c r="N13" s="2" t="inlineStr">
        <is>
          <t>Effect of NK - small NK</t>
        </is>
      </c>
    </row>
    <row r="14" customFormat="1" s="2">
      <c r="A14" s="2" t="b">
        <v>0</v>
      </c>
      <c r="B14" s="2" t="n">
        <v>13</v>
      </c>
      <c r="C14" s="2" t="inlineStr">
        <is>
          <t>styext</t>
        </is>
      </c>
      <c r="D14" s="2" t="n">
        <v>3000</v>
      </c>
      <c r="E14" s="2" t="n">
        <v>0.25</v>
      </c>
      <c r="F14" s="2" t="inlineStr">
        <is>
          <t>fenepm</t>
        </is>
      </c>
      <c r="G14" s="2" t="inlineStr">
        <is>
          <t>constant</t>
        </is>
      </c>
      <c r="H14" s="2" t="n">
        <v>0.1</v>
      </c>
      <c r="I14" s="2" t="n">
        <v>1</v>
      </c>
      <c r="M14" s="2" t="inlineStr">
        <is>
          <t>tnwpaper/outputs/generic_behaviour</t>
        </is>
      </c>
      <c r="N14" s="2" t="inlineStr">
        <is>
          <t>Effect of hK_star - large hK_star</t>
        </is>
      </c>
    </row>
    <row r="15" customFormat="1" s="2">
      <c r="A15" s="2" t="b">
        <v>0</v>
      </c>
      <c r="B15" s="2" t="n">
        <v>14</v>
      </c>
      <c r="C15" s="2" t="inlineStr">
        <is>
          <t>styext</t>
        </is>
      </c>
      <c r="D15" s="2" t="n">
        <v>3000</v>
      </c>
      <c r="E15" s="2" t="n">
        <v>0.25</v>
      </c>
      <c r="F15" s="2" t="inlineStr">
        <is>
          <t>fenepm</t>
        </is>
      </c>
      <c r="G15" s="2" t="inlineStr">
        <is>
          <t>c2d2</t>
        </is>
      </c>
      <c r="H15" s="2" t="n">
        <v>0.1</v>
      </c>
      <c r="I15" s="2" t="n">
        <v>1</v>
      </c>
      <c r="M15" s="2" t="inlineStr">
        <is>
          <t>tnwpaper/outputs/generic_behaviour</t>
        </is>
      </c>
      <c r="N15" s="2" t="inlineStr">
        <is>
          <t>Effect of hK_star - large hK_star</t>
        </is>
      </c>
    </row>
    <row r="16" customFormat="1" s="2">
      <c r="A16" s="2" t="b">
        <v>0</v>
      </c>
      <c r="B16" s="2" t="n">
        <v>15</v>
      </c>
      <c r="C16" s="2" t="inlineStr">
        <is>
          <t>caber</t>
        </is>
      </c>
      <c r="D16" s="2" t="n">
        <v>3000</v>
      </c>
      <c r="E16" s="2" t="n">
        <v>0.25</v>
      </c>
      <c r="F16" s="2" t="inlineStr">
        <is>
          <t>fenepm</t>
        </is>
      </c>
      <c r="G16" s="2" t="inlineStr">
        <is>
          <t>constant</t>
        </is>
      </c>
      <c r="H16" s="2" t="n">
        <v>0.1</v>
      </c>
      <c r="I16" s="2" t="inlineStr">
        <is>
          <t>[0.01, 0.03, 0.1, 0.3, 1, 3, 10, 30, 100]</t>
        </is>
      </c>
      <c r="M16" s="2" t="inlineStr">
        <is>
          <t>tnwpaper/outputs/generic_behaviour</t>
        </is>
      </c>
      <c r="N16" s="2" t="inlineStr">
        <is>
          <t>Effect of hK_star - large hK_star</t>
        </is>
      </c>
    </row>
    <row r="17" customFormat="1" s="2">
      <c r="A17" s="2" t="b">
        <v>0</v>
      </c>
      <c r="B17" s="2" t="n">
        <v>16</v>
      </c>
      <c r="C17" s="2" t="inlineStr">
        <is>
          <t>caber</t>
        </is>
      </c>
      <c r="D17" s="2" t="n">
        <v>3000</v>
      </c>
      <c r="E17" s="2" t="n">
        <v>0.25</v>
      </c>
      <c r="F17" s="2" t="inlineStr">
        <is>
          <t>fenepm</t>
        </is>
      </c>
      <c r="G17" s="2" t="inlineStr">
        <is>
          <t>c2d2</t>
        </is>
      </c>
      <c r="H17" s="2" t="n">
        <v>0.1</v>
      </c>
      <c r="I17" s="2" t="inlineStr">
        <is>
          <t>[0.01, 0.03, 0.1, 0.3, 1, 3, 10, 30, 100]</t>
        </is>
      </c>
      <c r="M17" s="2" t="inlineStr">
        <is>
          <t>tnwpaper/outputs/generic_behaviour</t>
        </is>
      </c>
      <c r="N17" s="2" t="inlineStr">
        <is>
          <t>Effect of hK_star - large hK_star</t>
        </is>
      </c>
    </row>
    <row r="18" customFormat="1" s="2">
      <c r="A18" s="2" t="b">
        <v>0</v>
      </c>
      <c r="B18" s="2" t="n">
        <v>17</v>
      </c>
      <c r="C18" s="2" t="inlineStr">
        <is>
          <t>styext</t>
        </is>
      </c>
      <c r="D18" s="2" t="n">
        <v>3000</v>
      </c>
      <c r="E18" s="2" t="n">
        <v>0.025</v>
      </c>
      <c r="F18" s="2" t="inlineStr">
        <is>
          <t>fenepm</t>
        </is>
      </c>
      <c r="G18" s="2" t="inlineStr">
        <is>
          <t>constant</t>
        </is>
      </c>
      <c r="H18" s="2" t="n">
        <v>0.1</v>
      </c>
      <c r="I18" s="2" t="n">
        <v>1</v>
      </c>
      <c r="M18" s="2" t="inlineStr">
        <is>
          <t>tnwpaper/outputs/generic_behaviour</t>
        </is>
      </c>
      <c r="N18" s="2" t="inlineStr">
        <is>
          <t>Effect of hK_star -small hK_star</t>
        </is>
      </c>
    </row>
    <row r="19" customFormat="1" s="2">
      <c r="A19" s="2" t="b">
        <v>0</v>
      </c>
      <c r="B19" s="2" t="n">
        <v>18</v>
      </c>
      <c r="C19" s="2" t="inlineStr">
        <is>
          <t>styext</t>
        </is>
      </c>
      <c r="D19" s="2" t="n">
        <v>3000</v>
      </c>
      <c r="E19" s="2" t="n">
        <v>0.025</v>
      </c>
      <c r="F19" s="2" t="inlineStr">
        <is>
          <t>fenepm</t>
        </is>
      </c>
      <c r="G19" s="2" t="inlineStr">
        <is>
          <t>c2d2</t>
        </is>
      </c>
      <c r="H19" s="2" t="n">
        <v>0.1</v>
      </c>
      <c r="I19" s="2" t="n">
        <v>1</v>
      </c>
      <c r="M19" s="2" t="inlineStr">
        <is>
          <t>tnwpaper/outputs/generic_behaviour</t>
        </is>
      </c>
      <c r="N19" s="2" t="inlineStr">
        <is>
          <t>Effect of hK_star -small hK_star</t>
        </is>
      </c>
    </row>
    <row r="20" customFormat="1" s="2">
      <c r="A20" s="2" t="b">
        <v>0</v>
      </c>
      <c r="B20" s="2" t="n">
        <v>19</v>
      </c>
      <c r="C20" s="2" t="inlineStr">
        <is>
          <t>caber</t>
        </is>
      </c>
      <c r="D20" s="2" t="n">
        <v>3000</v>
      </c>
      <c r="E20" s="2" t="n">
        <v>0.025</v>
      </c>
      <c r="F20" s="2" t="inlineStr">
        <is>
          <t>fenepm</t>
        </is>
      </c>
      <c r="G20" s="2" t="inlineStr">
        <is>
          <t>constant</t>
        </is>
      </c>
      <c r="H20" s="2" t="n">
        <v>0.1</v>
      </c>
      <c r="I20" s="2" t="inlineStr">
        <is>
          <t>[0.01, 0.03, 0.1, 0.3, 1, 3, 10, 30, 100]</t>
        </is>
      </c>
      <c r="M20" s="2" t="inlineStr">
        <is>
          <t>tnwpaper/outputs/generic_behaviour</t>
        </is>
      </c>
      <c r="N20" s="2" t="inlineStr">
        <is>
          <t>Effect of hK_star -small hK_star</t>
        </is>
      </c>
    </row>
    <row r="21" customFormat="1" s="2">
      <c r="A21" s="2" t="b">
        <v>0</v>
      </c>
      <c r="B21" s="2" t="n">
        <v>20</v>
      </c>
      <c r="C21" s="2" t="inlineStr">
        <is>
          <t>caber</t>
        </is>
      </c>
      <c r="D21" s="2" t="n">
        <v>3000</v>
      </c>
      <c r="E21" s="2" t="n">
        <v>0.025</v>
      </c>
      <c r="F21" s="2" t="inlineStr">
        <is>
          <t>fenepm</t>
        </is>
      </c>
      <c r="G21" s="2" t="inlineStr">
        <is>
          <t>c2d2</t>
        </is>
      </c>
      <c r="H21" s="2" t="n">
        <v>0.1</v>
      </c>
      <c r="I21" s="2" t="inlineStr">
        <is>
          <t>[0.01, 0.03, 0.1, 0.3, 1, 3, 10, 30, 100]</t>
        </is>
      </c>
      <c r="M21" s="2" t="inlineStr">
        <is>
          <t>tnwpaper/outputs/generic_behaviour</t>
        </is>
      </c>
      <c r="N21" s="2" t="inlineStr">
        <is>
          <t>Effect of hK_star -small hK_star</t>
        </is>
      </c>
    </row>
    <row r="22">
      <c r="A22" t="b">
        <v>1</v>
      </c>
      <c r="B22" t="n">
        <v>21</v>
      </c>
      <c r="C22" t="inlineStr">
        <is>
          <t>styext</t>
        </is>
      </c>
      <c r="D22" t="n">
        <v>3000</v>
      </c>
      <c r="E22" t="n">
        <v>0.05</v>
      </c>
      <c r="F22" t="inlineStr">
        <is>
          <t>fenepm</t>
        </is>
      </c>
      <c r="G22" t="inlineStr">
        <is>
          <t>constant</t>
        </is>
      </c>
      <c r="H22" t="n">
        <v>0.5</v>
      </c>
      <c r="I22" t="n">
        <v>1</v>
      </c>
      <c r="J22" t="n">
        <v>0.01</v>
      </c>
      <c r="K22" t="n">
        <v>0.51</v>
      </c>
      <c r="L22" t="inlineStr">
        <is>
          <t>generic_inertial_oh0p01</t>
        </is>
      </c>
      <c r="M22" t="inlineStr">
        <is>
          <t>tnwpaper/outputs/generic_behaviour</t>
        </is>
      </c>
      <c r="N22" t="inlineStr">
        <is>
          <t>inertial fig Oh=0.01 (styext steady-state curve)</t>
        </is>
      </c>
    </row>
    <row r="23">
      <c r="A23" t="b">
        <v>1</v>
      </c>
      <c r="B23" t="n">
        <v>22</v>
      </c>
      <c r="C23" t="inlineStr">
        <is>
          <t>styext</t>
        </is>
      </c>
      <c r="D23" t="n">
        <v>3000</v>
      </c>
      <c r="E23" t="n">
        <v>0.05</v>
      </c>
      <c r="F23" t="inlineStr">
        <is>
          <t>fenepm</t>
        </is>
      </c>
      <c r="G23" t="inlineStr">
        <is>
          <t>c2d2</t>
        </is>
      </c>
      <c r="H23" t="inlineStr">
        <is>
          <t>[0.01, 0.1, 0.5, 1]</t>
        </is>
      </c>
      <c r="I23" t="n">
        <v>1</v>
      </c>
      <c r="J23" t="n">
        <v>0.01</v>
      </c>
      <c r="K23" t="n">
        <v>0.51</v>
      </c>
      <c r="L23" t="inlineStr">
        <is>
          <t>generic_inertial_oh0p01</t>
        </is>
      </c>
      <c r="M23" t="inlineStr">
        <is>
          <t>tnwpaper/outputs/generic_behaviour</t>
        </is>
      </c>
      <c r="N23" t="inlineStr">
        <is>
          <t>styext steady-state curve, c2d2 drag (phi-dependent)</t>
        </is>
      </c>
    </row>
    <row r="24">
      <c r="A24" t="b">
        <v>1</v>
      </c>
      <c r="B24" t="n">
        <v>23</v>
      </c>
      <c r="C24" t="inlineStr">
        <is>
          <t>caber_inertial</t>
        </is>
      </c>
      <c r="D24" t="n">
        <v>3000</v>
      </c>
      <c r="E24" t="n">
        <v>0.05</v>
      </c>
      <c r="F24" t="inlineStr">
        <is>
          <t>fenepm</t>
        </is>
      </c>
      <c r="G24" t="inlineStr">
        <is>
          <t>constant</t>
        </is>
      </c>
      <c r="H24" t="inlineStr">
        <is>
          <t>[0.01, 0.1, 0.5, 1]</t>
        </is>
      </c>
      <c r="I24" t="inlineStr">
        <is>
          <t>[0.01, 0.03, 0.1, 0.3, 1, 3, 10, 30, 100]</t>
        </is>
      </c>
      <c r="J24" t="n">
        <v>0.01</v>
      </c>
      <c r="K24" t="n">
        <v>0.51</v>
      </c>
      <c r="L24" t="inlineStr">
        <is>
          <t>generic_inertial_oh0p01</t>
        </is>
      </c>
      <c r="M24" t="inlineStr">
        <is>
          <t>tnwpaper/outputs/generic_behaviour</t>
        </is>
      </c>
      <c r="N24" t="inlineStr">
        <is>
          <t>inertial fig Oh=0.01, constant drag</t>
        </is>
      </c>
    </row>
    <row r="25">
      <c r="A25" t="b">
        <v>1</v>
      </c>
      <c r="B25" t="n">
        <v>24</v>
      </c>
      <c r="C25" t="inlineStr">
        <is>
          <t>caber_inertial</t>
        </is>
      </c>
      <c r="D25" t="n">
        <v>3000</v>
      </c>
      <c r="E25" t="n">
        <v>0.05</v>
      </c>
      <c r="F25" t="inlineStr">
        <is>
          <t>fenepm</t>
        </is>
      </c>
      <c r="G25" t="inlineStr">
        <is>
          <t>c2d2</t>
        </is>
      </c>
      <c r="H25" t="inlineStr">
        <is>
          <t>[0.01, 0.1, 0.5, 1]</t>
        </is>
      </c>
      <c r="I25" t="inlineStr">
        <is>
          <t>[0.01, 0.03, 0.1, 0.3, 1, 3, 10, 30, 100]</t>
        </is>
      </c>
      <c r="J25" t="n">
        <v>0.01</v>
      </c>
      <c r="K25" t="n">
        <v>0.51</v>
      </c>
      <c r="L25" t="inlineStr">
        <is>
          <t>generic_inertial_oh0p01</t>
        </is>
      </c>
      <c r="M25" t="inlineStr">
        <is>
          <t>tnwpaper/outputs/generic_behaviour</t>
        </is>
      </c>
      <c r="N25" t="inlineStr">
        <is>
          <t>inertial fig Oh=0.01, c2d2 drag</t>
        </is>
      </c>
    </row>
  </sheetData>
  <dataValidations count="1">
    <dataValidation sqref="C2:C85" showDropDown="0" showInputMessage="1" showErrorMessage="1" allowBlank="1" type="list">
      <formula1>"styext, caber"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zoomScale="92" zoomScaleNormal="92" workbookViewId="0">
      <selection activeCell="A6" sqref="A6:A9"/>
    </sheetView>
  </sheetViews>
  <sheetFormatPr baseColWidth="10" defaultRowHeight="16"/>
  <cols>
    <col width="27.33203125" customWidth="1" style="13" min="8" max="8"/>
    <col width="35.33203125" customWidth="1" style="13" min="9" max="10"/>
    <col width="47.83203125" customWidth="1" style="13" min="12" max="12"/>
    <col width="43.6640625" customWidth="1" style="13" min="13" max="13"/>
  </cols>
  <sheetData>
    <row r="1" ht="17" customHeight="1" s="13">
      <c r="A1" s="7" t="inlineStr">
        <is>
          <t>enabled</t>
        </is>
      </c>
      <c r="B1" s="7" t="inlineStr">
        <is>
          <t>sweep_id</t>
        </is>
      </c>
      <c r="C1" s="7" t="inlineStr">
        <is>
          <t>flow_type</t>
        </is>
      </c>
      <c r="D1" s="7" t="inlineStr">
        <is>
          <t>NK</t>
        </is>
      </c>
      <c r="E1" s="7" t="inlineStr">
        <is>
          <t>hK_star</t>
        </is>
      </c>
      <c r="F1" s="7" t="inlineStr">
        <is>
          <t>fe_model</t>
        </is>
      </c>
      <c r="G1" s="7" t="inlineStr">
        <is>
          <t>drag_model</t>
        </is>
      </c>
      <c r="H1" s="7" t="inlineStr">
        <is>
          <t>phi</t>
        </is>
      </c>
      <c r="I1" s="7" t="inlineStr">
        <is>
          <t>De</t>
        </is>
      </c>
      <c r="J1" t="inlineStr">
        <is>
          <t>initial_micro_affine_strain</t>
        </is>
      </c>
      <c r="K1" s="7" t="inlineStr">
        <is>
          <t>folder</t>
        </is>
      </c>
      <c r="L1" s="7" t="inlineStr">
        <is>
          <t xml:space="preserve">out_root </t>
        </is>
      </c>
      <c r="M1" s="7" t="inlineStr">
        <is>
          <t>notes</t>
        </is>
      </c>
    </row>
    <row r="2">
      <c r="A2" t="b">
        <v>0</v>
      </c>
      <c r="B2" t="n">
        <v>1</v>
      </c>
      <c r="C2" t="inlineStr">
        <is>
          <t>caber</t>
        </is>
      </c>
      <c r="D2" t="n">
        <v>3000</v>
      </c>
      <c r="E2" t="n">
        <v>0.05</v>
      </c>
      <c r="F2" t="inlineStr">
        <is>
          <t>fenepm</t>
        </is>
      </c>
      <c r="G2" t="inlineStr">
        <is>
          <t>constant</t>
        </is>
      </c>
      <c r="H2" t="inlineStr">
        <is>
          <t>[0.01, 0.1, 0.5, 1]</t>
        </is>
      </c>
      <c r="I2" t="inlineStr">
        <is>
          <t>[0.01, 0.03, 0.1, 0.3, 1, 3, 10, 30, 100]</t>
        </is>
      </c>
      <c r="J2" t="n">
        <v>0</v>
      </c>
      <c r="L2" t="inlineStr">
        <is>
          <t>tnwpaper/outputs/prestretch_test/epre_0p0</t>
        </is>
      </c>
    </row>
    <row r="3">
      <c r="A3" t="b">
        <v>0</v>
      </c>
      <c r="B3" t="n">
        <v>2</v>
      </c>
      <c r="C3" t="inlineStr">
        <is>
          <t>caber</t>
        </is>
      </c>
      <c r="D3" t="n">
        <v>3000</v>
      </c>
      <c r="E3" t="n">
        <v>0.05</v>
      </c>
      <c r="F3" t="inlineStr">
        <is>
          <t>fenepm</t>
        </is>
      </c>
      <c r="G3" t="inlineStr">
        <is>
          <t>c2d2</t>
        </is>
      </c>
      <c r="H3" t="inlineStr">
        <is>
          <t>[0.01, 0.1, 0.5, 1]</t>
        </is>
      </c>
      <c r="I3" t="inlineStr">
        <is>
          <t>[0.01, 0.03, 0.1, 0.3, 1, 3, 10, 30, 100]</t>
        </is>
      </c>
      <c r="J3" t="n">
        <v>0</v>
      </c>
      <c r="L3" t="inlineStr">
        <is>
          <t>tnwpaper/outputs/prestretch_test/epre_0p0</t>
        </is>
      </c>
    </row>
    <row r="4">
      <c r="A4" t="b">
        <v>0</v>
      </c>
      <c r="B4" t="n">
        <v>3</v>
      </c>
      <c r="C4" t="inlineStr">
        <is>
          <t>caber</t>
        </is>
      </c>
      <c r="D4" t="n">
        <v>3000</v>
      </c>
      <c r="E4" t="n">
        <v>0.05</v>
      </c>
      <c r="F4" t="inlineStr">
        <is>
          <t>fenepm</t>
        </is>
      </c>
      <c r="G4" t="inlineStr">
        <is>
          <t>constant</t>
        </is>
      </c>
      <c r="H4" t="inlineStr">
        <is>
          <t>[0.01, 0.1, 0.5, 1]</t>
        </is>
      </c>
      <c r="I4" t="inlineStr">
        <is>
          <t>[0.01, 0.03, 0.1, 0.3, 1, 3, 10, 30, 100]</t>
        </is>
      </c>
      <c r="J4" t="n">
        <v>0.1</v>
      </c>
      <c r="L4" t="inlineStr">
        <is>
          <t>tnwpaper/outputs/prestretch_test/epre_0p1</t>
        </is>
      </c>
    </row>
    <row r="5">
      <c r="A5" t="b">
        <v>0</v>
      </c>
      <c r="B5" t="n">
        <v>4</v>
      </c>
      <c r="C5" t="inlineStr">
        <is>
          <t>caber</t>
        </is>
      </c>
      <c r="D5" t="n">
        <v>3000</v>
      </c>
      <c r="E5" t="n">
        <v>0.05</v>
      </c>
      <c r="F5" t="inlineStr">
        <is>
          <t>fenepm</t>
        </is>
      </c>
      <c r="G5" t="inlineStr">
        <is>
          <t>c2d2</t>
        </is>
      </c>
      <c r="H5" t="inlineStr">
        <is>
          <t>[0.01, 0.1, 0.5, 1]</t>
        </is>
      </c>
      <c r="I5" t="inlineStr">
        <is>
          <t>[0.01, 0.03, 0.1, 0.3, 1, 3, 10, 30, 100]</t>
        </is>
      </c>
      <c r="J5" t="n">
        <v>0.1</v>
      </c>
      <c r="L5" t="inlineStr">
        <is>
          <t>tnwpaper/outputs/prestretch_test/epre_0p1</t>
        </is>
      </c>
    </row>
    <row r="6">
      <c r="A6" t="b">
        <v>1</v>
      </c>
      <c r="B6" t="n">
        <v>5</v>
      </c>
      <c r="C6" t="inlineStr">
        <is>
          <t>caber</t>
        </is>
      </c>
      <c r="D6" t="n">
        <v>3000</v>
      </c>
      <c r="E6" t="n">
        <v>0.05</v>
      </c>
      <c r="F6" t="inlineStr">
        <is>
          <t>fenepm</t>
        </is>
      </c>
      <c r="G6" t="inlineStr">
        <is>
          <t>constant</t>
        </is>
      </c>
      <c r="H6" t="inlineStr">
        <is>
          <t>[0.01, 0.1, 0.5, 1]</t>
        </is>
      </c>
      <c r="I6" t="inlineStr">
        <is>
          <t>[0.01, 0.03, 0.1, 0.3, 1, 3, 10, 30, 100]</t>
        </is>
      </c>
      <c r="J6" t="n">
        <v>0.5</v>
      </c>
      <c r="L6" t="inlineStr">
        <is>
          <t>tnwpaper/outputs/prestretch_test/epre_0p5</t>
        </is>
      </c>
    </row>
    <row r="7">
      <c r="A7" t="b">
        <v>1</v>
      </c>
      <c r="B7" t="n">
        <v>6</v>
      </c>
      <c r="C7" t="inlineStr">
        <is>
          <t>caber</t>
        </is>
      </c>
      <c r="D7" t="n">
        <v>3000</v>
      </c>
      <c r="E7" t="n">
        <v>0.05</v>
      </c>
      <c r="F7" t="inlineStr">
        <is>
          <t>fenepm</t>
        </is>
      </c>
      <c r="G7" t="inlineStr">
        <is>
          <t>c2d2</t>
        </is>
      </c>
      <c r="H7" t="inlineStr">
        <is>
          <t>[0.01, 0.1, 0.5, 1]</t>
        </is>
      </c>
      <c r="I7" t="inlineStr">
        <is>
          <t>[0.01, 0.03, 0.1, 0.3, 1, 3, 10, 30, 100]</t>
        </is>
      </c>
      <c r="J7" t="n">
        <v>0.5</v>
      </c>
      <c r="L7" t="inlineStr">
        <is>
          <t>tnwpaper/outputs/prestretch_test/epre_0p5</t>
        </is>
      </c>
    </row>
    <row r="8">
      <c r="A8" t="b">
        <v>1</v>
      </c>
      <c r="B8" t="n">
        <v>7</v>
      </c>
      <c r="C8" t="inlineStr">
        <is>
          <t>caber</t>
        </is>
      </c>
      <c r="D8" t="n">
        <v>3000</v>
      </c>
      <c r="E8" t="n">
        <v>0.05</v>
      </c>
      <c r="F8" t="inlineStr">
        <is>
          <t>fenepm</t>
        </is>
      </c>
      <c r="G8" t="inlineStr">
        <is>
          <t>constant</t>
        </is>
      </c>
      <c r="H8" t="inlineStr">
        <is>
          <t>[0.01, 0.1, 0.5, 1]</t>
        </is>
      </c>
      <c r="I8" t="inlineStr">
        <is>
          <t>[0.01, 0.03, 0.1, 0.3, 1, 3, 10, 30, 100]</t>
        </is>
      </c>
      <c r="J8" t="n">
        <v>1</v>
      </c>
      <c r="L8" t="inlineStr">
        <is>
          <t>tnwpaper/outputs/prestretch_test/epre_1p0</t>
        </is>
      </c>
    </row>
    <row r="9">
      <c r="A9" t="b">
        <v>1</v>
      </c>
      <c r="B9" t="n">
        <v>8</v>
      </c>
      <c r="C9" t="inlineStr">
        <is>
          <t>caber</t>
        </is>
      </c>
      <c r="D9" t="n">
        <v>3000</v>
      </c>
      <c r="E9" t="n">
        <v>0.05</v>
      </c>
      <c r="F9" t="inlineStr">
        <is>
          <t>fenepm</t>
        </is>
      </c>
      <c r="G9" t="inlineStr">
        <is>
          <t>c2d2</t>
        </is>
      </c>
      <c r="H9" t="inlineStr">
        <is>
          <t>[0.01, 0.1, 0.5, 1]</t>
        </is>
      </c>
      <c r="I9" t="inlineStr">
        <is>
          <t>[0.01, 0.03, 0.1, 0.3, 1, 3, 10, 30, 100]</t>
        </is>
      </c>
      <c r="J9" t="n">
        <v>1</v>
      </c>
      <c r="L9" t="inlineStr">
        <is>
          <t>tnwpaper/outputs/prestretch_test/epre_1p0</t>
        </is>
      </c>
    </row>
  </sheetData>
  <dataValidations count="1">
    <dataValidation sqref="C2:C85" showDropDown="0" showInputMessage="1" showErrorMessage="1" allowBlank="1" type="list">
      <formula1>"styext, caber"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Prabhakar Ranganathan</dc:creator>
  <dcterms:created xmlns:dcterms="http://purl.org/dc/terms/" xmlns:xsi="http://www.w3.org/2001/XMLSchema-instance" xsi:type="dcterms:W3CDTF">2025-03-16T06:19:26Z</dcterms:created>
  <dcterms:modified xmlns:dcterms="http://purl.org/dc/terms/" xmlns:xsi="http://www.w3.org/2001/XMLSchema-instance" xsi:type="dcterms:W3CDTF">2026-06-24T11:26:31Z</dcterms:modified>
  <cp:lastModifiedBy>Prabhakar Ranganathan</cp:lastModifiedBy>
</cp:coreProperties>
</file>