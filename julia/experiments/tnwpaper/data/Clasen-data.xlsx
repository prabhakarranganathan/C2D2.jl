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rabhakar/Monash Uni Enterprise Dropbox/Prabhakar Ranganathan/Projects/Active/C2D2 Model/src/C2D2-repo/julia/experiments/tnwpaper/data/"/>
    </mc:Choice>
  </mc:AlternateContent>
  <xr:revisionPtr revIDLastSave="0" documentId="13_ncr:1_{0AE83029-E125-1544-BEE1-DCE9B064150D}" xr6:coauthVersionLast="47" xr6:coauthVersionMax="47" xr10:uidLastSave="{00000000-0000-0000-0000-000000000000}"/>
  <bookViews>
    <workbookView xWindow="2460" yWindow="1320" windowWidth="33240" windowHeight="18360" tabRatio="500" activeTab="3" xr2:uid="{00000000-000D-0000-FFFF-FFFF00000000}"/>
  </bookViews>
  <sheets>
    <sheet name="Data" sheetId="1" r:id="rId1"/>
    <sheet name="l0 analysis" sheetId="5" r:id="rId2"/>
    <sheet name="Boger" sheetId="2" r:id="rId3"/>
    <sheet name="DEP" sheetId="3" r:id="rId4"/>
    <sheet name="PEO" sheetId="4" r:id="rId5"/>
    <sheet name="nk5k" sheetId="6" r:id="rId6"/>
    <sheet name="nk11k" sheetId="7" r:id="rId7"/>
    <sheet name="tem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3" i="3" l="1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" i="3"/>
  <c r="S16" i="3"/>
  <c r="S8" i="3"/>
  <c r="S2" i="3"/>
  <c r="S29" i="2"/>
  <c r="S21" i="2"/>
  <c r="N3" i="8"/>
  <c r="N4" i="8"/>
  <c r="N5" i="8"/>
  <c r="N6" i="8"/>
  <c r="N7" i="8"/>
  <c r="N8" i="8"/>
  <c r="N9" i="8"/>
  <c r="N10" i="8"/>
  <c r="N14" i="8"/>
  <c r="N21" i="8"/>
  <c r="N22" i="8"/>
  <c r="N29" i="8"/>
  <c r="N30" i="8"/>
  <c r="N31" i="8"/>
  <c r="N32" i="8"/>
  <c r="N2" i="8"/>
  <c r="C3" i="8"/>
  <c r="H3" i="8" s="1"/>
  <c r="I3" i="8" s="1"/>
  <c r="C4" i="8"/>
  <c r="H4" i="8" s="1"/>
  <c r="I4" i="8" s="1"/>
  <c r="C5" i="8"/>
  <c r="H5" i="8" s="1"/>
  <c r="I5" i="8" s="1"/>
  <c r="C6" i="8"/>
  <c r="H6" i="8" s="1"/>
  <c r="I6" i="8" s="1"/>
  <c r="C7" i="8"/>
  <c r="H7" i="8" s="1"/>
  <c r="I7" i="8" s="1"/>
  <c r="C8" i="8"/>
  <c r="H8" i="8" s="1"/>
  <c r="I8" i="8" s="1"/>
  <c r="C9" i="8"/>
  <c r="H9" i="8" s="1"/>
  <c r="I9" i="8" s="1"/>
  <c r="C10" i="8"/>
  <c r="H10" i="8" s="1"/>
  <c r="I10" i="8" s="1"/>
  <c r="C11" i="8"/>
  <c r="H11" i="8" s="1"/>
  <c r="I11" i="8" s="1"/>
  <c r="C12" i="8"/>
  <c r="H12" i="8" s="1"/>
  <c r="I12" i="8" s="1"/>
  <c r="C13" i="8"/>
  <c r="H13" i="8" s="1"/>
  <c r="I13" i="8" s="1"/>
  <c r="C14" i="8"/>
  <c r="H14" i="8" s="1"/>
  <c r="I14" i="8" s="1"/>
  <c r="C15" i="8"/>
  <c r="H15" i="8" s="1"/>
  <c r="I15" i="8" s="1"/>
  <c r="C16" i="8"/>
  <c r="H16" i="8" s="1"/>
  <c r="I16" i="8" s="1"/>
  <c r="C17" i="8"/>
  <c r="H17" i="8" s="1"/>
  <c r="I17" i="8" s="1"/>
  <c r="C18" i="8"/>
  <c r="H18" i="8" s="1"/>
  <c r="I18" i="8" s="1"/>
  <c r="C19" i="8"/>
  <c r="H19" i="8" s="1"/>
  <c r="I19" i="8" s="1"/>
  <c r="C20" i="8"/>
  <c r="H20" i="8" s="1"/>
  <c r="I20" i="8" s="1"/>
  <c r="C21" i="8"/>
  <c r="H21" i="8" s="1"/>
  <c r="I21" i="8" s="1"/>
  <c r="C22" i="8"/>
  <c r="H22" i="8" s="1"/>
  <c r="I22" i="8" s="1"/>
  <c r="C23" i="8"/>
  <c r="H23" i="8" s="1"/>
  <c r="I23" i="8" s="1"/>
  <c r="C24" i="8"/>
  <c r="H24" i="8" s="1"/>
  <c r="I24" i="8" s="1"/>
  <c r="C25" i="8"/>
  <c r="H25" i="8" s="1"/>
  <c r="I25" i="8" s="1"/>
  <c r="C26" i="8"/>
  <c r="H26" i="8" s="1"/>
  <c r="I26" i="8" s="1"/>
  <c r="C27" i="8"/>
  <c r="H27" i="8" s="1"/>
  <c r="I27" i="8" s="1"/>
  <c r="C28" i="8"/>
  <c r="H28" i="8" s="1"/>
  <c r="I28" i="8" s="1"/>
  <c r="C29" i="8"/>
  <c r="H29" i="8" s="1"/>
  <c r="I29" i="8" s="1"/>
  <c r="C30" i="8"/>
  <c r="H30" i="8" s="1"/>
  <c r="I30" i="8" s="1"/>
  <c r="C31" i="8"/>
  <c r="H31" i="8" s="1"/>
  <c r="I31" i="8" s="1"/>
  <c r="C32" i="8"/>
  <c r="H32" i="8" s="1"/>
  <c r="I32" i="8" s="1"/>
  <c r="C33" i="8"/>
  <c r="H33" i="8" s="1"/>
  <c r="I33" i="8" s="1"/>
  <c r="C2" i="8"/>
  <c r="H2" i="8" s="1"/>
  <c r="I2" i="8" s="1"/>
  <c r="P37" i="2"/>
  <c r="P38" i="2"/>
  <c r="P36" i="2"/>
  <c r="R30" i="8" l="1"/>
  <c r="S30" i="8" s="1"/>
  <c r="R29" i="8"/>
  <c r="S29" i="8" s="1"/>
  <c r="R32" i="8"/>
  <c r="S32" i="8" s="1"/>
  <c r="R31" i="8"/>
  <c r="S31" i="8" s="1"/>
  <c r="R23" i="8"/>
  <c r="R22" i="8"/>
  <c r="S22" i="8" s="1"/>
  <c r="R21" i="8"/>
  <c r="S21" i="8" s="1"/>
  <c r="R13" i="8"/>
  <c r="R18" i="8"/>
  <c r="R10" i="8"/>
  <c r="S10" i="8" s="1"/>
  <c r="R9" i="8"/>
  <c r="S9" i="8" s="1"/>
  <c r="R8" i="8"/>
  <c r="S8" i="8" s="1"/>
  <c r="R17" i="8"/>
  <c r="R7" i="8"/>
  <c r="S7" i="8" s="1"/>
  <c r="R26" i="8"/>
  <c r="R16" i="8"/>
  <c r="R6" i="8"/>
  <c r="S6" i="8" s="1"/>
  <c r="R25" i="8"/>
  <c r="R15" i="8"/>
  <c r="R5" i="8"/>
  <c r="S5" i="8" s="1"/>
  <c r="R24" i="8"/>
  <c r="R14" i="8"/>
  <c r="S14" i="8" s="1"/>
  <c r="R20" i="8"/>
  <c r="R28" i="8"/>
  <c r="R12" i="8"/>
  <c r="R4" i="8"/>
  <c r="S4" i="8" s="1"/>
  <c r="R27" i="8"/>
  <c r="R19" i="8"/>
  <c r="R11" i="8"/>
  <c r="R3" i="8"/>
  <c r="S3" i="8" s="1"/>
  <c r="R2" i="8"/>
  <c r="S2" i="8" s="1"/>
  <c r="Q25" i="8"/>
  <c r="Q30" i="8"/>
  <c r="Q24" i="8"/>
  <c r="Q23" i="8"/>
  <c r="Q22" i="8"/>
  <c r="Q15" i="8"/>
  <c r="Q14" i="8"/>
  <c r="Q32" i="8"/>
  <c r="Q31" i="8"/>
  <c r="Q7" i="8"/>
  <c r="Q11" i="8"/>
  <c r="Q19" i="8"/>
  <c r="Q10" i="8"/>
  <c r="Q9" i="8"/>
  <c r="Q18" i="8"/>
  <c r="Q8" i="8"/>
  <c r="Q27" i="8"/>
  <c r="Q17" i="8"/>
  <c r="Q26" i="8"/>
  <c r="Q16" i="8"/>
  <c r="Q6" i="8"/>
  <c r="Q29" i="8"/>
  <c r="Q21" i="8"/>
  <c r="Q13" i="8"/>
  <c r="Q5" i="8"/>
  <c r="Q28" i="8"/>
  <c r="Q20" i="8"/>
  <c r="Q12" i="8"/>
  <c r="Q4" i="8"/>
  <c r="Q3" i="8"/>
  <c r="Q2" i="8"/>
  <c r="O32" i="8"/>
  <c r="O31" i="8"/>
  <c r="O29" i="8"/>
  <c r="O30" i="8"/>
  <c r="O8" i="8"/>
  <c r="O6" i="8"/>
  <c r="O22" i="8"/>
  <c r="O21" i="8"/>
  <c r="O9" i="8"/>
  <c r="O5" i="8"/>
  <c r="O10" i="8"/>
  <c r="O14" i="8"/>
  <c r="O3" i="8"/>
  <c r="O4" i="8"/>
  <c r="O2" i="8"/>
  <c r="O7" i="8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12" i="7"/>
  <c r="AE41" i="2"/>
  <c r="AE40" i="2"/>
  <c r="AE39" i="2"/>
  <c r="AE38" i="2"/>
  <c r="AE37" i="2"/>
  <c r="AE36" i="2"/>
  <c r="J32" i="4"/>
  <c r="J34" i="4" s="1"/>
  <c r="J36" i="4" s="1"/>
  <c r="J35" i="4" s="1"/>
  <c r="I32" i="4"/>
  <c r="I34" i="4" s="1"/>
  <c r="I36" i="4" s="1"/>
  <c r="I30" i="4"/>
  <c r="Z4" i="4"/>
  <c r="P3" i="4"/>
  <c r="T3" i="4" s="1"/>
  <c r="H3" i="4" s="1"/>
  <c r="P4" i="4"/>
  <c r="Q4" i="4" s="1"/>
  <c r="P5" i="4"/>
  <c r="Q5" i="4" s="1"/>
  <c r="P6" i="4"/>
  <c r="T6" i="4" s="1"/>
  <c r="P7" i="4"/>
  <c r="Q7" i="4" s="1"/>
  <c r="P8" i="4"/>
  <c r="P9" i="4"/>
  <c r="P10" i="4"/>
  <c r="T10" i="4" s="1"/>
  <c r="H10" i="4" s="1"/>
  <c r="P11" i="4"/>
  <c r="T11" i="4" s="1"/>
  <c r="H11" i="4" s="1"/>
  <c r="P12" i="4"/>
  <c r="T12" i="4" s="1"/>
  <c r="H12" i="4" s="1"/>
  <c r="P13" i="4"/>
  <c r="Q13" i="4" s="1"/>
  <c r="P14" i="4"/>
  <c r="Q14" i="4" s="1"/>
  <c r="P15" i="4"/>
  <c r="Q15" i="4" s="1"/>
  <c r="P16" i="4"/>
  <c r="P17" i="4"/>
  <c r="P18" i="4"/>
  <c r="T18" i="4" s="1"/>
  <c r="H18" i="4" s="1"/>
  <c r="P19" i="4"/>
  <c r="T19" i="4" s="1"/>
  <c r="H19" i="4" s="1"/>
  <c r="P20" i="4"/>
  <c r="Q20" i="4" s="1"/>
  <c r="P21" i="4"/>
  <c r="Q21" i="4" s="1"/>
  <c r="P22" i="4"/>
  <c r="Q22" i="4" s="1"/>
  <c r="P23" i="4"/>
  <c r="Q23" i="4" s="1"/>
  <c r="P24" i="4"/>
  <c r="P25" i="4"/>
  <c r="P26" i="4"/>
  <c r="T26" i="4" s="1"/>
  <c r="H26" i="4" s="1"/>
  <c r="F23" i="4"/>
  <c r="F24" i="4"/>
  <c r="F25" i="4"/>
  <c r="F26" i="4"/>
  <c r="F18" i="4"/>
  <c r="F19" i="4"/>
  <c r="F20" i="4"/>
  <c r="F21" i="4"/>
  <c r="F22" i="4"/>
  <c r="F17" i="4"/>
  <c r="F10" i="4"/>
  <c r="F11" i="4"/>
  <c r="F12" i="4"/>
  <c r="F13" i="4"/>
  <c r="F14" i="4"/>
  <c r="F15" i="4"/>
  <c r="F16" i="4"/>
  <c r="F8" i="4"/>
  <c r="F9" i="4"/>
  <c r="F3" i="4"/>
  <c r="F4" i="4"/>
  <c r="F5" i="4"/>
  <c r="F6" i="4"/>
  <c r="F7" i="4"/>
  <c r="F2" i="4"/>
  <c r="G2" i="3"/>
  <c r="V3" i="4"/>
  <c r="X3" i="4" s="1"/>
  <c r="D3" i="4" s="1"/>
  <c r="V4" i="4"/>
  <c r="X4" i="4" s="1"/>
  <c r="D4" i="4" s="1"/>
  <c r="V5" i="4"/>
  <c r="X5" i="4" s="1"/>
  <c r="D5" i="4" s="1"/>
  <c r="V6" i="4"/>
  <c r="X6" i="4" s="1"/>
  <c r="D6" i="4" s="1"/>
  <c r="V7" i="4"/>
  <c r="X7" i="4" s="1"/>
  <c r="D7" i="4" s="1"/>
  <c r="V8" i="4"/>
  <c r="X8" i="4" s="1"/>
  <c r="D8" i="4" s="1"/>
  <c r="V9" i="4"/>
  <c r="X9" i="4" s="1"/>
  <c r="D9" i="4" s="1"/>
  <c r="V10" i="4"/>
  <c r="X10" i="4" s="1"/>
  <c r="D10" i="4" s="1"/>
  <c r="V11" i="4"/>
  <c r="X11" i="4" s="1"/>
  <c r="D11" i="4" s="1"/>
  <c r="V12" i="4"/>
  <c r="X12" i="4" s="1"/>
  <c r="D12" i="4" s="1"/>
  <c r="V13" i="4"/>
  <c r="X13" i="4" s="1"/>
  <c r="D13" i="4" s="1"/>
  <c r="V14" i="4"/>
  <c r="X14" i="4" s="1"/>
  <c r="D14" i="4" s="1"/>
  <c r="V15" i="4"/>
  <c r="X15" i="4" s="1"/>
  <c r="D15" i="4" s="1"/>
  <c r="V16" i="4"/>
  <c r="X16" i="4" s="1"/>
  <c r="D16" i="4" s="1"/>
  <c r="V17" i="4"/>
  <c r="X17" i="4" s="1"/>
  <c r="D17" i="4" s="1"/>
  <c r="V18" i="4"/>
  <c r="X18" i="4" s="1"/>
  <c r="D18" i="4" s="1"/>
  <c r="V19" i="4"/>
  <c r="X19" i="4" s="1"/>
  <c r="D19" i="4" s="1"/>
  <c r="V20" i="4"/>
  <c r="X20" i="4" s="1"/>
  <c r="D20" i="4" s="1"/>
  <c r="V21" i="4"/>
  <c r="X21" i="4" s="1"/>
  <c r="D21" i="4" s="1"/>
  <c r="V22" i="4"/>
  <c r="X22" i="4" s="1"/>
  <c r="D22" i="4" s="1"/>
  <c r="V23" i="4"/>
  <c r="X23" i="4" s="1"/>
  <c r="D23" i="4" s="1"/>
  <c r="V24" i="4"/>
  <c r="X24" i="4" s="1"/>
  <c r="D24" i="4" s="1"/>
  <c r="V25" i="4"/>
  <c r="X25" i="4" s="1"/>
  <c r="D25" i="4" s="1"/>
  <c r="V26" i="4"/>
  <c r="X26" i="4" s="1"/>
  <c r="D26" i="4" s="1"/>
  <c r="V2" i="4"/>
  <c r="X2" i="4" s="1"/>
  <c r="D2" i="4" s="1"/>
  <c r="E32" i="4"/>
  <c r="E33" i="4"/>
  <c r="E34" i="4"/>
  <c r="E31" i="4"/>
  <c r="P2" i="4"/>
  <c r="T2" i="4" s="1"/>
  <c r="H2" i="4" s="1"/>
  <c r="L6" i="4"/>
  <c r="L7" i="4"/>
  <c r="L5" i="4"/>
  <c r="L3" i="4"/>
  <c r="L2" i="4"/>
  <c r="L8" i="4"/>
  <c r="L12" i="4"/>
  <c r="L13" i="4"/>
  <c r="L14" i="4"/>
  <c r="L15" i="4"/>
  <c r="L16" i="4"/>
  <c r="L10" i="4"/>
  <c r="L11" i="4"/>
  <c r="L9" i="4"/>
  <c r="L17" i="4"/>
  <c r="L18" i="4"/>
  <c r="L20" i="4"/>
  <c r="L19" i="4"/>
  <c r="L21" i="4"/>
  <c r="L22" i="4"/>
  <c r="L4" i="4"/>
  <c r="J24" i="4"/>
  <c r="K24" i="4" s="1"/>
  <c r="A24" i="4" s="1"/>
  <c r="J25" i="4"/>
  <c r="K25" i="4" s="1"/>
  <c r="A25" i="4" s="1"/>
  <c r="J26" i="4"/>
  <c r="K26" i="4" s="1"/>
  <c r="A26" i="4" s="1"/>
  <c r="J18" i="4"/>
  <c r="K18" i="4" s="1"/>
  <c r="A18" i="4" s="1"/>
  <c r="J20" i="4"/>
  <c r="K20" i="4" s="1"/>
  <c r="A20" i="4" s="1"/>
  <c r="J19" i="4"/>
  <c r="K19" i="4" s="1"/>
  <c r="A19" i="4" s="1"/>
  <c r="J21" i="4"/>
  <c r="K21" i="4" s="1"/>
  <c r="A21" i="4" s="1"/>
  <c r="J22" i="4"/>
  <c r="K22" i="4" s="1"/>
  <c r="A22" i="4" s="1"/>
  <c r="J13" i="4"/>
  <c r="K13" i="4" s="1"/>
  <c r="A13" i="4" s="1"/>
  <c r="J14" i="4"/>
  <c r="K14" i="4" s="1"/>
  <c r="A14" i="4" s="1"/>
  <c r="J15" i="4"/>
  <c r="K15" i="4" s="1"/>
  <c r="A15" i="4" s="1"/>
  <c r="J16" i="4"/>
  <c r="K16" i="4" s="1"/>
  <c r="A16" i="4" s="1"/>
  <c r="J10" i="4"/>
  <c r="K10" i="4" s="1"/>
  <c r="A10" i="4" s="1"/>
  <c r="J11" i="4"/>
  <c r="K11" i="4" s="1"/>
  <c r="A11" i="4" s="1"/>
  <c r="J9" i="4"/>
  <c r="K9" i="4" s="1"/>
  <c r="A9" i="4" s="1"/>
  <c r="J12" i="4"/>
  <c r="K12" i="4" s="1"/>
  <c r="A12" i="4" s="1"/>
  <c r="J6" i="4"/>
  <c r="K6" i="4" s="1"/>
  <c r="A6" i="4" s="1"/>
  <c r="J7" i="4"/>
  <c r="K7" i="4" s="1"/>
  <c r="A7" i="4" s="1"/>
  <c r="J5" i="4"/>
  <c r="K5" i="4" s="1"/>
  <c r="A5" i="4" s="1"/>
  <c r="J3" i="4"/>
  <c r="K3" i="4" s="1"/>
  <c r="A3" i="4" s="1"/>
  <c r="J2" i="4"/>
  <c r="K2" i="4" s="1"/>
  <c r="A2" i="4" s="1"/>
  <c r="J23" i="4"/>
  <c r="K23" i="4" s="1"/>
  <c r="A23" i="4" s="1"/>
  <c r="J17" i="4"/>
  <c r="K17" i="4" s="1"/>
  <c r="A17" i="4" s="1"/>
  <c r="J8" i="4"/>
  <c r="K8" i="4" s="1"/>
  <c r="A8" i="4" s="1"/>
  <c r="J4" i="4"/>
  <c r="K4" i="4" s="1"/>
  <c r="A4" i="4" s="1"/>
  <c r="G29" i="2"/>
  <c r="G21" i="2"/>
  <c r="G14" i="2"/>
  <c r="G8" i="2"/>
  <c r="G2" i="2"/>
  <c r="G16" i="3"/>
  <c r="G8" i="3"/>
  <c r="AF3" i="2"/>
  <c r="AH3" i="2" s="1"/>
  <c r="E3" i="2" s="1"/>
  <c r="AF4" i="2"/>
  <c r="AJ4" i="2" s="1"/>
  <c r="AF5" i="2"/>
  <c r="AH5" i="2" s="1"/>
  <c r="E5" i="2" s="1"/>
  <c r="AF6" i="2"/>
  <c r="AL6" i="2" s="1"/>
  <c r="AM6" i="2" s="1"/>
  <c r="AF7" i="2"/>
  <c r="AF8" i="2"/>
  <c r="AH8" i="2" s="1"/>
  <c r="E8" i="2" s="1"/>
  <c r="AF9" i="2"/>
  <c r="AL9" i="2" s="1"/>
  <c r="AM9" i="2" s="1"/>
  <c r="AF10" i="2"/>
  <c r="AL10" i="2" s="1"/>
  <c r="AM10" i="2" s="1"/>
  <c r="AF11" i="2"/>
  <c r="AH11" i="2" s="1"/>
  <c r="E11" i="2" s="1"/>
  <c r="AF12" i="2"/>
  <c r="AJ12" i="2" s="1"/>
  <c r="AF13" i="2"/>
  <c r="AF14" i="2"/>
  <c r="AL14" i="2" s="1"/>
  <c r="AM14" i="2" s="1"/>
  <c r="AF15" i="2"/>
  <c r="AF16" i="2"/>
  <c r="AL16" i="2" s="1"/>
  <c r="AM16" i="2" s="1"/>
  <c r="AF17" i="2"/>
  <c r="AL17" i="2" s="1"/>
  <c r="AM17" i="2" s="1"/>
  <c r="AF18" i="2"/>
  <c r="AL18" i="2" s="1"/>
  <c r="AM18" i="2" s="1"/>
  <c r="AF19" i="2"/>
  <c r="AF20" i="2"/>
  <c r="AJ20" i="2" s="1"/>
  <c r="AF21" i="2"/>
  <c r="AL21" i="2" s="1"/>
  <c r="AM21" i="2" s="1"/>
  <c r="AF22" i="2"/>
  <c r="AL22" i="2" s="1"/>
  <c r="AM22" i="2" s="1"/>
  <c r="AF23" i="2"/>
  <c r="AF24" i="2"/>
  <c r="AJ24" i="2" s="1"/>
  <c r="AF25" i="2"/>
  <c r="AL25" i="2" s="1"/>
  <c r="AM25" i="2" s="1"/>
  <c r="AF26" i="2"/>
  <c r="AF27" i="2"/>
  <c r="AF28" i="2"/>
  <c r="AF29" i="2"/>
  <c r="AL29" i="2" s="1"/>
  <c r="AM29" i="2" s="1"/>
  <c r="AF30" i="2"/>
  <c r="AL30" i="2" s="1"/>
  <c r="AM30" i="2" s="1"/>
  <c r="AF31" i="2"/>
  <c r="AF32" i="2"/>
  <c r="AL32" i="2" s="1"/>
  <c r="AM32" i="2" s="1"/>
  <c r="AF33" i="2"/>
  <c r="AH33" i="2" s="1"/>
  <c r="E33" i="2" s="1"/>
  <c r="AF2" i="2"/>
  <c r="AH2" i="2" s="1"/>
  <c r="E2" i="2" s="1"/>
  <c r="D44" i="5"/>
  <c r="D45" i="5"/>
  <c r="F45" i="5" s="1"/>
  <c r="D46" i="5"/>
  <c r="E46" i="5" s="1"/>
  <c r="D47" i="5"/>
  <c r="E47" i="5" s="1"/>
  <c r="D48" i="5"/>
  <c r="F48" i="5" s="1"/>
  <c r="D49" i="5"/>
  <c r="E49" i="5" s="1"/>
  <c r="D50" i="5"/>
  <c r="F50" i="5" s="1"/>
  <c r="D51" i="5"/>
  <c r="F51" i="5" s="1"/>
  <c r="D52" i="5"/>
  <c r="D53" i="5"/>
  <c r="E53" i="5" s="1"/>
  <c r="D54" i="5"/>
  <c r="E54" i="5" s="1"/>
  <c r="D55" i="5"/>
  <c r="E55" i="5" s="1"/>
  <c r="D56" i="5"/>
  <c r="E56" i="5" s="1"/>
  <c r="D57" i="5"/>
  <c r="E57" i="5" s="1"/>
  <c r="D58" i="5"/>
  <c r="F58" i="5" s="1"/>
  <c r="D59" i="5"/>
  <c r="F59" i="5" s="1"/>
  <c r="D60" i="5"/>
  <c r="E60" i="5" s="1"/>
  <c r="D61" i="5"/>
  <c r="F61" i="5" s="1"/>
  <c r="D62" i="5"/>
  <c r="E62" i="5" s="1"/>
  <c r="D63" i="5"/>
  <c r="E63" i="5" s="1"/>
  <c r="D64" i="5"/>
  <c r="E64" i="5" s="1"/>
  <c r="D65" i="5"/>
  <c r="E65" i="5" s="1"/>
  <c r="D66" i="5"/>
  <c r="F66" i="5" s="1"/>
  <c r="D67" i="5"/>
  <c r="E67" i="5" s="1"/>
  <c r="D68" i="5"/>
  <c r="E68" i="5" s="1"/>
  <c r="D69" i="5"/>
  <c r="F69" i="5" s="1"/>
  <c r="D43" i="5"/>
  <c r="E43" i="5" s="1"/>
  <c r="C46" i="5"/>
  <c r="C49" i="5"/>
  <c r="C51" i="5"/>
  <c r="C60" i="5"/>
  <c r="C61" i="5"/>
  <c r="C62" i="5"/>
  <c r="C63" i="5"/>
  <c r="C44" i="5"/>
  <c r="C48" i="5"/>
  <c r="C50" i="5"/>
  <c r="C52" i="5"/>
  <c r="C53" i="5"/>
  <c r="C54" i="5"/>
  <c r="C55" i="5"/>
  <c r="C56" i="5"/>
  <c r="C57" i="5"/>
  <c r="C64" i="5"/>
  <c r="C66" i="5"/>
  <c r="C45" i="5"/>
  <c r="C47" i="5"/>
  <c r="C58" i="5"/>
  <c r="C59" i="5"/>
  <c r="C65" i="5"/>
  <c r="C67" i="5"/>
  <c r="C68" i="5"/>
  <c r="C69" i="5"/>
  <c r="C43" i="5"/>
  <c r="T29" i="2"/>
  <c r="Y29" i="2" s="1"/>
  <c r="I29" i="2" s="1"/>
  <c r="T21" i="2"/>
  <c r="V21" i="2" s="1"/>
  <c r="T14" i="2"/>
  <c r="Y14" i="2" s="1"/>
  <c r="I14" i="2" s="1"/>
  <c r="T8" i="2"/>
  <c r="V8" i="2" s="1"/>
  <c r="T2" i="2"/>
  <c r="V2" i="2" s="1"/>
  <c r="W2" i="2" s="1"/>
  <c r="C2" i="2" s="1"/>
  <c r="T16" i="3"/>
  <c r="Y16" i="3" s="1"/>
  <c r="I16" i="3" s="1"/>
  <c r="T8" i="3"/>
  <c r="Y8" i="3" s="1"/>
  <c r="I8" i="3" s="1"/>
  <c r="T2" i="3"/>
  <c r="AF17" i="3"/>
  <c r="AJ17" i="3" s="1"/>
  <c r="AF18" i="3"/>
  <c r="AH18" i="3" s="1"/>
  <c r="E18" i="3" s="1"/>
  <c r="AF19" i="3"/>
  <c r="AJ19" i="3" s="1"/>
  <c r="AF20" i="3"/>
  <c r="AJ20" i="3" s="1"/>
  <c r="E21" i="3"/>
  <c r="AF9" i="3"/>
  <c r="AF10" i="3"/>
  <c r="AF11" i="3"/>
  <c r="AJ11" i="3" s="1"/>
  <c r="AF12" i="3"/>
  <c r="AJ12" i="3" s="1"/>
  <c r="AF13" i="3"/>
  <c r="AF14" i="3"/>
  <c r="AF15" i="3"/>
  <c r="AH15" i="3" s="1"/>
  <c r="E15" i="3" s="1"/>
  <c r="AF3" i="3"/>
  <c r="AF4" i="3"/>
  <c r="AH4" i="3" s="1"/>
  <c r="E4" i="3" s="1"/>
  <c r="AF5" i="3"/>
  <c r="AJ5" i="3" s="1"/>
  <c r="AF6" i="3"/>
  <c r="AJ6" i="3" s="1"/>
  <c r="AF7" i="3"/>
  <c r="AJ7" i="3" s="1"/>
  <c r="AF16" i="3"/>
  <c r="AF8" i="3"/>
  <c r="AH8" i="3" s="1"/>
  <c r="E8" i="3" s="1"/>
  <c r="AF2" i="3"/>
  <c r="AJ2" i="3" s="1"/>
  <c r="AC16" i="3"/>
  <c r="N16" i="3"/>
  <c r="AC8" i="3"/>
  <c r="N8" i="3"/>
  <c r="B8" i="3" s="1"/>
  <c r="AC2" i="3"/>
  <c r="N2" i="3"/>
  <c r="N29" i="2"/>
  <c r="B29" i="2" s="1"/>
  <c r="AC29" i="2"/>
  <c r="N21" i="2"/>
  <c r="L21" i="2" s="1"/>
  <c r="K21" i="2" s="1"/>
  <c r="AC21" i="2"/>
  <c r="N14" i="2"/>
  <c r="AC14" i="2"/>
  <c r="N8" i="2"/>
  <c r="L8" i="2" s="1"/>
  <c r="K8" i="2" s="1"/>
  <c r="AC8" i="2"/>
  <c r="N2" i="2"/>
  <c r="L2" i="2" s="1"/>
  <c r="K2" i="2" s="1"/>
  <c r="AC2" i="2"/>
  <c r="B68" i="1"/>
  <c r="B66" i="1"/>
  <c r="B57" i="1"/>
  <c r="B51" i="1"/>
  <c r="B42" i="1"/>
  <c r="L68" i="1"/>
  <c r="M68" i="1" s="1"/>
  <c r="L66" i="1"/>
  <c r="M66" i="1" s="1"/>
  <c r="N66" i="1"/>
  <c r="N57" i="1"/>
  <c r="N51" i="1"/>
  <c r="N42" i="1"/>
  <c r="L57" i="1"/>
  <c r="M57" i="1" s="1"/>
  <c r="L51" i="1"/>
  <c r="M51" i="1" s="1"/>
  <c r="L42" i="1"/>
  <c r="M42" i="1" s="1"/>
  <c r="N90" i="1"/>
  <c r="N81" i="1"/>
  <c r="N73" i="1"/>
  <c r="L90" i="1"/>
  <c r="M90" i="1" s="1"/>
  <c r="L81" i="1"/>
  <c r="M81" i="1" s="1"/>
  <c r="L73" i="1"/>
  <c r="M73" i="1" s="1"/>
  <c r="H91" i="1"/>
  <c r="H92" i="1"/>
  <c r="H93" i="1"/>
  <c r="E91" i="1"/>
  <c r="H29" i="1"/>
  <c r="H30" i="1" s="1"/>
  <c r="H33" i="1" s="1"/>
  <c r="E92" i="1"/>
  <c r="E93" i="1"/>
  <c r="H90" i="1"/>
  <c r="E90" i="1"/>
  <c r="E82" i="1"/>
  <c r="H82" i="1"/>
  <c r="E83" i="1"/>
  <c r="H83" i="1"/>
  <c r="E84" i="1"/>
  <c r="H84" i="1"/>
  <c r="E85" i="1"/>
  <c r="H85" i="1"/>
  <c r="E86" i="1"/>
  <c r="H86" i="1"/>
  <c r="E87" i="1"/>
  <c r="H87" i="1"/>
  <c r="E88" i="1"/>
  <c r="H88" i="1"/>
  <c r="H81" i="1"/>
  <c r="E81" i="1"/>
  <c r="H74" i="1"/>
  <c r="H75" i="1"/>
  <c r="H76" i="1"/>
  <c r="H77" i="1"/>
  <c r="H78" i="1"/>
  <c r="H79" i="1"/>
  <c r="E74" i="1"/>
  <c r="E75" i="1"/>
  <c r="E76" i="1"/>
  <c r="E77" i="1"/>
  <c r="E78" i="1"/>
  <c r="E79" i="1"/>
  <c r="H73" i="1"/>
  <c r="E73" i="1"/>
  <c r="H58" i="1"/>
  <c r="H59" i="1"/>
  <c r="H60" i="1"/>
  <c r="H61" i="1"/>
  <c r="H62" i="1"/>
  <c r="H63" i="1"/>
  <c r="H64" i="1"/>
  <c r="H57" i="1"/>
  <c r="E58" i="1"/>
  <c r="D30" i="1"/>
  <c r="D34" i="1" s="1"/>
  <c r="E59" i="1"/>
  <c r="E60" i="1"/>
  <c r="E61" i="1"/>
  <c r="E62" i="1"/>
  <c r="E63" i="1"/>
  <c r="E64" i="1"/>
  <c r="E57" i="1"/>
  <c r="H52" i="1"/>
  <c r="H53" i="1"/>
  <c r="H54" i="1"/>
  <c r="H55" i="1"/>
  <c r="H51" i="1"/>
  <c r="E52" i="1"/>
  <c r="E53" i="1"/>
  <c r="E54" i="1"/>
  <c r="E55" i="1"/>
  <c r="E51" i="1"/>
  <c r="H43" i="1"/>
  <c r="H44" i="1"/>
  <c r="H45" i="1"/>
  <c r="H46" i="1"/>
  <c r="H47" i="1"/>
  <c r="H48" i="1"/>
  <c r="H49" i="1"/>
  <c r="H42" i="1"/>
  <c r="E43" i="1"/>
  <c r="E44" i="1"/>
  <c r="E45" i="1"/>
  <c r="E46" i="1"/>
  <c r="E47" i="1"/>
  <c r="E48" i="1"/>
  <c r="E49" i="1"/>
  <c r="E42" i="1"/>
  <c r="L2" i="3" l="1"/>
  <c r="K2" i="3" s="1"/>
  <c r="AJ26" i="2"/>
  <c r="AL26" i="2"/>
  <c r="AJ27" i="2"/>
  <c r="AL27" i="2"/>
  <c r="AH28" i="2"/>
  <c r="E28" i="2" s="1"/>
  <c r="AL28" i="2"/>
  <c r="AJ13" i="2"/>
  <c r="AL13" i="2"/>
  <c r="T7" i="4"/>
  <c r="H7" i="4" s="1"/>
  <c r="T20" i="4"/>
  <c r="H20" i="4" s="1"/>
  <c r="T13" i="4"/>
  <c r="H13" i="4" s="1"/>
  <c r="F56" i="5"/>
  <c r="F55" i="5"/>
  <c r="T22" i="4"/>
  <c r="H22" i="4" s="1"/>
  <c r="Y8" i="2"/>
  <c r="I8" i="2" s="1"/>
  <c r="T15" i="4"/>
  <c r="H15" i="4" s="1"/>
  <c r="AJ21" i="2"/>
  <c r="H35" i="1"/>
  <c r="G90" i="1" s="1"/>
  <c r="B2" i="3"/>
  <c r="F54" i="5"/>
  <c r="G75" i="1"/>
  <c r="T21" i="4"/>
  <c r="H21" i="4" s="1"/>
  <c r="AH29" i="2"/>
  <c r="E29" i="2" s="1"/>
  <c r="T4" i="4"/>
  <c r="H4" i="4" s="1"/>
  <c r="V14" i="2"/>
  <c r="AL24" i="2"/>
  <c r="AM24" i="2" s="1"/>
  <c r="AH9" i="2"/>
  <c r="E9" i="2" s="1"/>
  <c r="F67" i="5"/>
  <c r="AH25" i="2"/>
  <c r="E25" i="2" s="1"/>
  <c r="AJ32" i="2"/>
  <c r="AJ25" i="2"/>
  <c r="E50" i="5"/>
  <c r="AH14" i="2"/>
  <c r="E14" i="2" s="1"/>
  <c r="F43" i="5"/>
  <c r="AJ16" i="2"/>
  <c r="AJ9" i="2"/>
  <c r="T5" i="4"/>
  <c r="H5" i="4" s="1"/>
  <c r="V29" i="2"/>
  <c r="AA29" i="2" s="1"/>
  <c r="AD29" i="2" s="1"/>
  <c r="V16" i="3"/>
  <c r="W16" i="3" s="1"/>
  <c r="C16" i="3" s="1"/>
  <c r="F49" i="5"/>
  <c r="AH24" i="2"/>
  <c r="E24" i="2" s="1"/>
  <c r="F57" i="5"/>
  <c r="E59" i="5"/>
  <c r="AJ33" i="2"/>
  <c r="AL33" i="2"/>
  <c r="AM33" i="2" s="1"/>
  <c r="Q19" i="4"/>
  <c r="R19" i="4" s="1"/>
  <c r="B19" i="4" s="1"/>
  <c r="B8" i="2"/>
  <c r="E58" i="5"/>
  <c r="AH13" i="2"/>
  <c r="E13" i="2" s="1"/>
  <c r="Q18" i="4"/>
  <c r="R18" i="4" s="1"/>
  <c r="B18" i="4" s="1"/>
  <c r="Y21" i="2"/>
  <c r="I21" i="2" s="1"/>
  <c r="F53" i="5"/>
  <c r="E51" i="5"/>
  <c r="AJ8" i="2"/>
  <c r="Q12" i="4"/>
  <c r="R12" i="4" s="1"/>
  <c r="B12" i="4" s="1"/>
  <c r="AH17" i="3"/>
  <c r="E17" i="3" s="1"/>
  <c r="Q11" i="4"/>
  <c r="R11" i="4" s="1"/>
  <c r="B11" i="4" s="1"/>
  <c r="B2" i="2"/>
  <c r="F65" i="5"/>
  <c r="F46" i="5"/>
  <c r="AH30" i="2"/>
  <c r="E30" i="2" s="1"/>
  <c r="AJ17" i="2"/>
  <c r="AH12" i="3"/>
  <c r="E12" i="3" s="1"/>
  <c r="Q3" i="4"/>
  <c r="R3" i="4" s="1"/>
  <c r="B3" i="4" s="1"/>
  <c r="AL2" i="2"/>
  <c r="AM2" i="2" s="1"/>
  <c r="AJ28" i="2"/>
  <c r="AJ8" i="3"/>
  <c r="Q2" i="4"/>
  <c r="R2" i="4" s="1"/>
  <c r="B2" i="4" s="1"/>
  <c r="T23" i="4"/>
  <c r="H23" i="4" s="1"/>
  <c r="T14" i="4"/>
  <c r="H14" i="4" s="1"/>
  <c r="AL8" i="2"/>
  <c r="AM8" i="2" s="1"/>
  <c r="AA21" i="2"/>
  <c r="AD21" i="2" s="1"/>
  <c r="W21" i="2"/>
  <c r="C21" i="2" s="1"/>
  <c r="G52" i="1"/>
  <c r="G74" i="1"/>
  <c r="AJ5" i="2"/>
  <c r="I35" i="4"/>
  <c r="H34" i="1"/>
  <c r="G84" i="1" s="1"/>
  <c r="L29" i="2"/>
  <c r="K29" i="2" s="1"/>
  <c r="AJ3" i="3"/>
  <c r="AH22" i="2"/>
  <c r="E22" i="2" s="1"/>
  <c r="AH6" i="2"/>
  <c r="E6" i="2" s="1"/>
  <c r="AH7" i="3"/>
  <c r="E7" i="3" s="1"/>
  <c r="AL5" i="2"/>
  <c r="AM5" i="2" s="1"/>
  <c r="F47" i="5"/>
  <c r="F63" i="5"/>
  <c r="E48" i="5"/>
  <c r="AH21" i="2"/>
  <c r="E21" i="2" s="1"/>
  <c r="Q6" i="4"/>
  <c r="R6" i="4" s="1"/>
  <c r="B6" i="4" s="1"/>
  <c r="D33" i="1"/>
  <c r="G48" i="1" s="1"/>
  <c r="G78" i="1"/>
  <c r="V8" i="3"/>
  <c r="W8" i="3" s="1"/>
  <c r="C8" i="3" s="1"/>
  <c r="F64" i="5"/>
  <c r="F62" i="5"/>
  <c r="AH17" i="2"/>
  <c r="E17" i="2" s="1"/>
  <c r="AJ29" i="2"/>
  <c r="G54" i="1"/>
  <c r="D35" i="1"/>
  <c r="G59" i="1" s="1"/>
  <c r="G76" i="1"/>
  <c r="E61" i="5"/>
  <c r="AH16" i="2"/>
  <c r="E16" i="2" s="1"/>
  <c r="AH20" i="3"/>
  <c r="E20" i="3" s="1"/>
  <c r="G55" i="1"/>
  <c r="G53" i="1"/>
  <c r="G51" i="1"/>
  <c r="AJ9" i="3"/>
  <c r="G77" i="1"/>
  <c r="AH14" i="3"/>
  <c r="E14" i="3" s="1"/>
  <c r="AH16" i="3"/>
  <c r="E16" i="3" s="1"/>
  <c r="AJ18" i="3"/>
  <c r="F68" i="5"/>
  <c r="AJ19" i="2"/>
  <c r="AL19" i="2"/>
  <c r="AM19" i="2" s="1"/>
  <c r="AJ3" i="2"/>
  <c r="AL3" i="2"/>
  <c r="AM3" i="2" s="1"/>
  <c r="AA2" i="2"/>
  <c r="AD2" i="2" s="1"/>
  <c r="AJ15" i="3"/>
  <c r="AJ10" i="3"/>
  <c r="AH27" i="2"/>
  <c r="E27" i="2" s="1"/>
  <c r="T9" i="4"/>
  <c r="H9" i="4" s="1"/>
  <c r="Q9" i="4"/>
  <c r="AJ23" i="2"/>
  <c r="AL23" i="2"/>
  <c r="AM23" i="2" s="1"/>
  <c r="AH23" i="2"/>
  <c r="E23" i="2" s="1"/>
  <c r="AH6" i="3"/>
  <c r="E6" i="3" s="1"/>
  <c r="Y2" i="3"/>
  <c r="I2" i="3" s="1"/>
  <c r="V2" i="3"/>
  <c r="AL12" i="2"/>
  <c r="AM12" i="2" s="1"/>
  <c r="AH12" i="2"/>
  <c r="E12" i="2" s="1"/>
  <c r="AH13" i="3"/>
  <c r="E13" i="3" s="1"/>
  <c r="E52" i="5"/>
  <c r="F52" i="5"/>
  <c r="F44" i="5"/>
  <c r="E44" i="5"/>
  <c r="E45" i="5"/>
  <c r="AJ11" i="2"/>
  <c r="AL11" i="2"/>
  <c r="AM11" i="2" s="1"/>
  <c r="G73" i="1"/>
  <c r="AH5" i="3"/>
  <c r="E5" i="3" s="1"/>
  <c r="E69" i="5"/>
  <c r="AJ16" i="3"/>
  <c r="Q10" i="4"/>
  <c r="R10" i="4" s="1"/>
  <c r="B10" i="4" s="1"/>
  <c r="T25" i="4"/>
  <c r="H25" i="4" s="1"/>
  <c r="Q25" i="4"/>
  <c r="T16" i="4"/>
  <c r="H16" i="4" s="1"/>
  <c r="Q16" i="4"/>
  <c r="AJ7" i="2"/>
  <c r="AL7" i="2"/>
  <c r="AM7" i="2" s="1"/>
  <c r="AH7" i="2"/>
  <c r="E7" i="2" s="1"/>
  <c r="T17" i="4"/>
  <c r="H17" i="4" s="1"/>
  <c r="Q17" i="4"/>
  <c r="T8" i="4"/>
  <c r="H8" i="4" s="1"/>
  <c r="Q8" i="4"/>
  <c r="L14" i="2"/>
  <c r="K14" i="2" s="1"/>
  <c r="B14" i="2"/>
  <c r="L16" i="3"/>
  <c r="K16" i="3" s="1"/>
  <c r="B16" i="3"/>
  <c r="AH2" i="3"/>
  <c r="E2" i="3" s="1"/>
  <c r="AJ4" i="3"/>
  <c r="F60" i="5"/>
  <c r="AH32" i="2"/>
  <c r="E32" i="2" s="1"/>
  <c r="AH19" i="2"/>
  <c r="E19" i="2" s="1"/>
  <c r="AJ31" i="2"/>
  <c r="AH31" i="2"/>
  <c r="E31" i="2" s="1"/>
  <c r="AL31" i="2"/>
  <c r="AM31" i="2" s="1"/>
  <c r="AJ15" i="2"/>
  <c r="AL15" i="2"/>
  <c r="AM15" i="2" s="1"/>
  <c r="AH15" i="2"/>
  <c r="E15" i="2" s="1"/>
  <c r="AH10" i="3"/>
  <c r="E10" i="3" s="1"/>
  <c r="AJ14" i="3"/>
  <c r="T24" i="4"/>
  <c r="H24" i="4" s="1"/>
  <c r="Q24" i="4"/>
  <c r="L8" i="3"/>
  <c r="K8" i="3" s="1"/>
  <c r="G79" i="1"/>
  <c r="W8" i="2"/>
  <c r="C8" i="2" s="1"/>
  <c r="AA8" i="2"/>
  <c r="AD8" i="2" s="1"/>
  <c r="AH11" i="3"/>
  <c r="E11" i="3" s="1"/>
  <c r="AH19" i="3"/>
  <c r="E19" i="3" s="1"/>
  <c r="Y2" i="2"/>
  <c r="I2" i="2" s="1"/>
  <c r="E66" i="5"/>
  <c r="AL20" i="2"/>
  <c r="AM20" i="2" s="1"/>
  <c r="AH20" i="2"/>
  <c r="E20" i="2" s="1"/>
  <c r="AL4" i="2"/>
  <c r="AM4" i="2" s="1"/>
  <c r="AH4" i="2"/>
  <c r="E4" i="2" s="1"/>
  <c r="AH9" i="3"/>
  <c r="E9" i="3" s="1"/>
  <c r="AJ13" i="3"/>
  <c r="Q26" i="4"/>
  <c r="R26" i="4" s="1"/>
  <c r="B26" i="4" s="1"/>
  <c r="H6" i="4"/>
  <c r="B21" i="2"/>
  <c r="AH26" i="2"/>
  <c r="E26" i="2" s="1"/>
  <c r="AH18" i="2"/>
  <c r="E18" i="2" s="1"/>
  <c r="AH10" i="2"/>
  <c r="E10" i="2" s="1"/>
  <c r="AJ2" i="2"/>
  <c r="AJ30" i="2"/>
  <c r="AJ22" i="2"/>
  <c r="AJ18" i="2"/>
  <c r="AJ14" i="2"/>
  <c r="AJ10" i="2"/>
  <c r="AJ6" i="2"/>
  <c r="AH3" i="3"/>
  <c r="E3" i="3" s="1"/>
  <c r="R20" i="4" l="1"/>
  <c r="B20" i="4" s="1"/>
  <c r="R7" i="4"/>
  <c r="B7" i="4" s="1"/>
  <c r="R13" i="4"/>
  <c r="B13" i="4" s="1"/>
  <c r="R21" i="4"/>
  <c r="B21" i="4" s="1"/>
  <c r="W29" i="2"/>
  <c r="C29" i="2" s="1"/>
  <c r="R22" i="4"/>
  <c r="B22" i="4" s="1"/>
  <c r="R15" i="4"/>
  <c r="B15" i="4" s="1"/>
  <c r="G93" i="1"/>
  <c r="G91" i="1"/>
  <c r="G92" i="1"/>
  <c r="G46" i="1"/>
  <c r="AA16" i="3"/>
  <c r="AD16" i="3" s="1"/>
  <c r="R4" i="4"/>
  <c r="B4" i="4" s="1"/>
  <c r="G44" i="1"/>
  <c r="AA14" i="2"/>
  <c r="AD14" i="2" s="1"/>
  <c r="W14" i="2"/>
  <c r="C14" i="2" s="1"/>
  <c r="G83" i="1"/>
  <c r="R9" i="4"/>
  <c r="B9" i="4" s="1"/>
  <c r="G61" i="1"/>
  <c r="G60" i="1"/>
  <c r="R24" i="4"/>
  <c r="B24" i="4" s="1"/>
  <c r="G87" i="1"/>
  <c r="G85" i="1"/>
  <c r="G86" i="1"/>
  <c r="R5" i="4"/>
  <c r="B5" i="4" s="1"/>
  <c r="R14" i="4"/>
  <c r="B14" i="4" s="1"/>
  <c r="G64" i="1"/>
  <c r="G63" i="1"/>
  <c r="AA8" i="3"/>
  <c r="AD8" i="3" s="1"/>
  <c r="R23" i="4"/>
  <c r="B23" i="4" s="1"/>
  <c r="G57" i="1"/>
  <c r="G62" i="1"/>
  <c r="G42" i="1"/>
  <c r="G43" i="1"/>
  <c r="G58" i="1"/>
  <c r="G82" i="1"/>
  <c r="G81" i="1"/>
  <c r="G45" i="1"/>
  <c r="R16" i="4"/>
  <c r="B16" i="4" s="1"/>
  <c r="G49" i="1"/>
  <c r="G47" i="1"/>
  <c r="R17" i="4"/>
  <c r="B17" i="4" s="1"/>
  <c r="R25" i="4"/>
  <c r="B25" i="4" s="1"/>
  <c r="R8" i="4"/>
  <c r="B8" i="4" s="1"/>
  <c r="G88" i="1"/>
  <c r="AA2" i="3"/>
  <c r="AD2" i="3" s="1"/>
  <c r="W2" i="3"/>
  <c r="C2" i="3" s="1"/>
</calcChain>
</file>

<file path=xl/sharedStrings.xml><?xml version="1.0" encoding="utf-8"?>
<sst xmlns="http://schemas.openxmlformats.org/spreadsheetml/2006/main" count="255" uniqueCount="134">
  <si>
    <t>x</t>
  </si>
  <si>
    <t>y</t>
  </si>
  <si>
    <t>BOGER SAOS DATA FIT TO MARTIN EQN</t>
    <phoneticPr fontId="1" type="noConversion"/>
  </si>
  <si>
    <t>Mol Wt</t>
    <phoneticPr fontId="1" type="noConversion"/>
  </si>
  <si>
    <t>Orig. c*</t>
    <phoneticPr fontId="1" type="noConversion"/>
  </si>
  <si>
    <t xml:space="preserve">x* </t>
    <phoneticPr fontId="1" type="noConversion"/>
  </si>
  <si>
    <t>C</t>
    <phoneticPr fontId="1" type="noConversion"/>
  </si>
  <si>
    <t>Revised c*</t>
    <phoneticPr fontId="1" type="noConversion"/>
  </si>
  <si>
    <t>5.7M</t>
    <phoneticPr fontId="1" type="noConversion"/>
  </si>
  <si>
    <t>8.3M</t>
    <phoneticPr fontId="1" type="noConversion"/>
  </si>
  <si>
    <t>2.8M</t>
    <phoneticPr fontId="1" type="noConversion"/>
  </si>
  <si>
    <t>C</t>
    <phoneticPr fontId="1" type="noConversion"/>
  </si>
  <si>
    <t>Boger fluids data</t>
    <phoneticPr fontId="1" type="noConversion"/>
  </si>
  <si>
    <t>taue_e</t>
    <phoneticPr fontId="1" type="noConversion"/>
  </si>
  <si>
    <t>c/c*</t>
    <phoneticPr fontId="1" type="noConversion"/>
  </si>
  <si>
    <t>tau_e/tau_z</t>
    <phoneticPr fontId="1" type="noConversion"/>
  </si>
  <si>
    <t>c (g/g)</t>
    <phoneticPr fontId="1" type="noConversion"/>
  </si>
  <si>
    <t>c (g/ml)</t>
    <phoneticPr fontId="1" type="noConversion"/>
  </si>
  <si>
    <t>Boger fluids c* (g/ml) restimation</t>
    <phoneticPr fontId="1" type="noConversion"/>
  </si>
  <si>
    <t>DEP c*(g/ml) restimation</t>
    <phoneticPr fontId="1" type="noConversion"/>
  </si>
  <si>
    <t>rho (g/ml)</t>
    <phoneticPr fontId="1" type="noConversion"/>
  </si>
  <si>
    <t>5.7M</t>
    <phoneticPr fontId="1" type="noConversion"/>
  </si>
  <si>
    <t>2.8M</t>
    <phoneticPr fontId="1" type="noConversion"/>
  </si>
  <si>
    <t>DEP data</t>
    <phoneticPr fontId="1" type="noConversion"/>
  </si>
  <si>
    <t>8.3M</t>
    <phoneticPr fontId="1" type="noConversion"/>
  </si>
  <si>
    <t>etas</t>
    <phoneticPr fontId="1" type="noConversion"/>
  </si>
  <si>
    <t>gamma</t>
    <phoneticPr fontId="1" type="noConversion"/>
  </si>
  <si>
    <t>R_0_plate</t>
    <phoneticPr fontId="1" type="noConversion"/>
  </si>
  <si>
    <t>lambda_z</t>
    <phoneticPr fontId="1" type="noConversion"/>
  </si>
  <si>
    <t>lambda_v</t>
    <phoneticPr fontId="1" type="noConversion"/>
  </si>
  <si>
    <t>De_z</t>
    <phoneticPr fontId="1" type="noConversion"/>
  </si>
  <si>
    <t>Oh</t>
    <phoneticPr fontId="1" type="noConversion"/>
  </si>
  <si>
    <t>% Nk</t>
  </si>
  <si>
    <t>Xfactor</t>
  </si>
  <si>
    <t>Cfactor</t>
  </si>
  <si>
    <t>c/c*</t>
  </si>
  <si>
    <t>model</t>
  </si>
  <si>
    <t>phieq</t>
  </si>
  <si>
    <t>De_z</t>
  </si>
  <si>
    <t>Kmartin</t>
  </si>
  <si>
    <t>e_ps</t>
  </si>
  <si>
    <t>edot_ps</t>
  </si>
  <si>
    <t>MW</t>
  </si>
  <si>
    <t>lambda_z</t>
  </si>
  <si>
    <t>etas</t>
  </si>
  <si>
    <t>gamma</t>
  </si>
  <si>
    <t>R_plate</t>
  </si>
  <si>
    <t>R_0</t>
  </si>
  <si>
    <t>lambda_v</t>
  </si>
  <si>
    <t>Nk</t>
  </si>
  <si>
    <t>Oh</t>
  </si>
  <si>
    <t>rho</t>
  </si>
  <si>
    <t>t_ps</t>
  </si>
  <si>
    <t>t_ps/lambda_v</t>
  </si>
  <si>
    <t>Lps/L0</t>
  </si>
  <si>
    <t>c (ppm)</t>
  </si>
  <si>
    <t>c (g/ml)</t>
  </si>
  <si>
    <t>[eta] (ml/g)</t>
  </si>
  <si>
    <t>lambda_R</t>
  </si>
  <si>
    <t>t_ps/lambda_R</t>
  </si>
  <si>
    <t>DEP2.8Mill:</t>
  </si>
  <si>
    <t>DEP5.7Mill:</t>
  </si>
  <si>
    <t>DEP8.3Mill:</t>
  </si>
  <si>
    <t>c[eta]</t>
  </si>
  <si>
    <t>etap/etas</t>
  </si>
  <si>
    <t>Martin</t>
  </si>
  <si>
    <t>my</t>
  </si>
  <si>
    <t>my2</t>
  </si>
  <si>
    <t>c/c*_KM</t>
  </si>
  <si>
    <t>c/c*_Kmartin</t>
  </si>
  <si>
    <t>lebylz_expt</t>
  </si>
  <si>
    <t xml:space="preserve"> hs = 0.03</t>
  </si>
  <si>
    <t xml:space="preserve"> hs = 0.02</t>
  </si>
  <si>
    <t>FENEP-0.02</t>
  </si>
  <si>
    <t>lebylz_CDD H* = 0.01</t>
  </si>
  <si>
    <t>FENEP - h* = 0.01</t>
  </si>
  <si>
    <t>c/c*_paper</t>
  </si>
  <si>
    <t>[eta]</t>
  </si>
  <si>
    <t>eta_p</t>
  </si>
  <si>
    <t>eta_s</t>
  </si>
  <si>
    <t>eta_rel/(c[eta])</t>
  </si>
  <si>
    <t>Km</t>
  </si>
  <si>
    <t>M/bond</t>
  </si>
  <si>
    <t>C_infty</t>
  </si>
  <si>
    <t>theta</t>
  </si>
  <si>
    <t>l</t>
  </si>
  <si>
    <t>bK=</t>
  </si>
  <si>
    <t>mK</t>
  </si>
  <si>
    <t>sigma^2</t>
  </si>
  <si>
    <t>CDD-hs = 0.01</t>
  </si>
  <si>
    <t>FENEP</t>
  </si>
  <si>
    <t>Wie</t>
  </si>
  <si>
    <t>lebylz</t>
  </si>
  <si>
    <t>lebyl0</t>
  </si>
  <si>
    <t>etape</t>
  </si>
  <si>
    <t>CDD0</t>
  </si>
  <si>
    <t>CDD</t>
  </si>
  <si>
    <t>h* = 0.25</t>
  </si>
  <si>
    <t>h* = 0.005</t>
  </si>
  <si>
    <t>h* = 0.025</t>
  </si>
  <si>
    <t>l0bylz</t>
  </si>
  <si>
    <t>R/Ro</t>
  </si>
  <si>
    <t>t/t_v</t>
  </si>
  <si>
    <t>t/tv</t>
  </si>
  <si>
    <t>c (g/g)</t>
  </si>
  <si>
    <t>M_w</t>
  </si>
  <si>
    <t>c*_M</t>
  </si>
  <si>
    <t>NK</t>
  </si>
  <si>
    <t>h*_K</t>
  </si>
  <si>
    <t>alpha</t>
  </si>
  <si>
    <t>k_M</t>
  </si>
  <si>
    <t>c/c*_M</t>
  </si>
  <si>
    <t>c/c*_figure</t>
  </si>
  <si>
    <t>[eta]_0 frm paper</t>
  </si>
  <si>
    <t>c (g/mL)</t>
  </si>
  <si>
    <t>[eta]_0 calc</t>
  </si>
  <si>
    <t>l0/lZ frm paper</t>
  </si>
  <si>
    <t>l0/lZ calc</t>
  </si>
  <si>
    <t>lZ frm paper</t>
  </si>
  <si>
    <t>lZ calc</t>
  </si>
  <si>
    <t>Sample</t>
  </si>
  <si>
    <t>A</t>
  </si>
  <si>
    <t>E</t>
  </si>
  <si>
    <t>C</t>
  </si>
  <si>
    <t>B</t>
  </si>
  <si>
    <t>D</t>
  </si>
  <si>
    <t>X</t>
  </si>
  <si>
    <t>Y</t>
  </si>
  <si>
    <t>Z</t>
  </si>
  <si>
    <t>R_0 (calc)</t>
  </si>
  <si>
    <t xml:space="preserve">R_0 </t>
  </si>
  <si>
    <t>R_1/R0 from figs</t>
  </si>
  <si>
    <t>R0</t>
  </si>
  <si>
    <t>R1/R0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</si>
</sst>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11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5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exp"/>
            <c:intercept val="1"/>
            <c:dispRSqr val="1"/>
            <c:dispEq val="1"/>
            <c:trendlineLbl>
              <c:layout>
                <c:manualLayout>
                  <c:x val="-5.8848945605937203E-2"/>
                  <c:y val="-0.19891586468358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/>
                  </a:pPr>
                  <a:endParaRPr lang="en-US"/>
                </a:p>
              </c:txPr>
            </c:trendlineLbl>
          </c:trendline>
          <c:xVal>
            <c:numRef>
              <c:f>Data!$A$3:$A$18</c:f>
              <c:numCache>
                <c:formatCode>General</c:formatCode>
                <c:ptCount val="16"/>
                <c:pt idx="0" formatCode="0.00E+00">
                  <c:v>5.9770000000000005E-4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1.4999999999999999E-2</c:v>
                </c:pt>
                <c:pt idx="5">
                  <c:v>1.6E-2</c:v>
                </c:pt>
                <c:pt idx="6">
                  <c:v>1.9E-2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6.0999999999999999E-2</c:v>
                </c:pt>
                <c:pt idx="10">
                  <c:v>8.1000000000000003E-2</c:v>
                </c:pt>
                <c:pt idx="11">
                  <c:v>0.17199999999999999</c:v>
                </c:pt>
                <c:pt idx="12">
                  <c:v>0.16300000000000001</c:v>
                </c:pt>
                <c:pt idx="13">
                  <c:v>0.13500000000000001</c:v>
                </c:pt>
                <c:pt idx="14">
                  <c:v>2E-3</c:v>
                </c:pt>
                <c:pt idx="15">
                  <c:v>2E-3</c:v>
                </c:pt>
              </c:numCache>
            </c:numRef>
          </c:xVal>
          <c:yVal>
            <c:numRef>
              <c:f>Data!$C$3:$C$18</c:f>
              <c:numCache>
                <c:formatCode>General</c:formatCode>
                <c:ptCount val="16"/>
                <c:pt idx="0">
                  <c:v>0.873</c:v>
                </c:pt>
                <c:pt idx="1">
                  <c:v>0.89700000000000002</c:v>
                </c:pt>
                <c:pt idx="2">
                  <c:v>0.94699999999999995</c:v>
                </c:pt>
                <c:pt idx="3">
                  <c:v>1.585</c:v>
                </c:pt>
                <c:pt idx="4">
                  <c:v>1.5009999999999999</c:v>
                </c:pt>
                <c:pt idx="5">
                  <c:v>1.6279999999999999</c:v>
                </c:pt>
                <c:pt idx="6">
                  <c:v>1.145</c:v>
                </c:pt>
                <c:pt idx="7">
                  <c:v>1.242</c:v>
                </c:pt>
                <c:pt idx="8">
                  <c:v>1.7190000000000001</c:v>
                </c:pt>
                <c:pt idx="9">
                  <c:v>1.9159999999999999</c:v>
                </c:pt>
                <c:pt idx="10">
                  <c:v>1.4219999999999999</c:v>
                </c:pt>
                <c:pt idx="11">
                  <c:v>1.4610000000000001</c:v>
                </c:pt>
                <c:pt idx="12">
                  <c:v>1.865</c:v>
                </c:pt>
                <c:pt idx="13">
                  <c:v>3.2930000000000001</c:v>
                </c:pt>
                <c:pt idx="14">
                  <c:v>0.80500000000000005</c:v>
                </c:pt>
                <c:pt idx="15">
                  <c:v>1.1140000000000001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24-BD4B-A299-A0E95F01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910632"/>
        <c:axId val="2078913624"/>
      </c:scatterChart>
      <c:valAx>
        <c:axId val="2078910632"/>
        <c:scaling>
          <c:logBase val="10"/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078913624"/>
        <c:crosses val="autoZero"/>
        <c:crossBetween val="midCat"/>
      </c:valAx>
      <c:valAx>
        <c:axId val="2078913624"/>
        <c:scaling>
          <c:logBase val="10"/>
          <c:orientation val="minMax"/>
          <c:max val="100"/>
          <c:min val="0.0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910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Data!$G$42:$G$49</c:f>
              <c:numCache>
                <c:formatCode>0.00E+00</c:formatCode>
                <c:ptCount val="8"/>
                <c:pt idx="0">
                  <c:v>3.4170920013848454E-3</c:v>
                </c:pt>
                <c:pt idx="1">
                  <c:v>4.2119309116934248E-3</c:v>
                </c:pt>
                <c:pt idx="2">
                  <c:v>1.3275366659733024E-2</c:v>
                </c:pt>
                <c:pt idx="3">
                  <c:v>4.1866845725623957E-2</c:v>
                </c:pt>
                <c:pt idx="4">
                  <c:v>8.3986154842558197E-2</c:v>
                </c:pt>
                <c:pt idx="5">
                  <c:v>0.10346791320533599</c:v>
                </c:pt>
                <c:pt idx="6">
                  <c:v>0.13203835365528438</c:v>
                </c:pt>
                <c:pt idx="7">
                  <c:v>0.4163542095025618</c:v>
                </c:pt>
              </c:numCache>
            </c:numRef>
          </c:xVal>
          <c:yVal>
            <c:numRef>
              <c:f>Data!$H$42:$H$49</c:f>
              <c:numCache>
                <c:formatCode>General</c:formatCode>
                <c:ptCount val="8"/>
                <c:pt idx="0">
                  <c:v>0.33293413173652692</c:v>
                </c:pt>
                <c:pt idx="1">
                  <c:v>0.39652694610778444</c:v>
                </c:pt>
                <c:pt idx="2">
                  <c:v>0.82598802395209592</c:v>
                </c:pt>
                <c:pt idx="3">
                  <c:v>1.9106586826347307</c:v>
                </c:pt>
                <c:pt idx="4">
                  <c:v>4.4198802395209578</c:v>
                </c:pt>
                <c:pt idx="5">
                  <c:v>4.908383233532934</c:v>
                </c:pt>
                <c:pt idx="6">
                  <c:v>6.0534131736526948</c:v>
                </c:pt>
                <c:pt idx="7">
                  <c:v>18.519760479041917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1-874B-99A0-3DE58DA512A1}"/>
            </c:ext>
          </c:extLst>
        </c:ser>
        <c:ser>
          <c:idx val="1"/>
          <c:order val="1"/>
          <c:spPr>
            <a:ln w="28575">
              <a:noFill/>
            </a:ln>
          </c:spPr>
          <c:xVal>
            <c:numRef>
              <c:f>Data!$G$51:$G$55</c:f>
              <c:numCache>
                <c:formatCode>0.00E+00</c:formatCode>
                <c:ptCount val="5"/>
                <c:pt idx="0">
                  <c:v>2.5322078148422612E-3</c:v>
                </c:pt>
                <c:pt idx="1">
                  <c:v>3.46465284671556E-3</c:v>
                </c:pt>
                <c:pt idx="2">
                  <c:v>1.0920059671715877E-2</c:v>
                </c:pt>
                <c:pt idx="3">
                  <c:v>3.4438856967851969E-2</c:v>
                </c:pt>
                <c:pt idx="4">
                  <c:v>0.10861219413579846</c:v>
                </c:pt>
              </c:numCache>
            </c:numRef>
          </c:xVal>
          <c:yVal>
            <c:numRef>
              <c:f>Data!$H$51:$H$55</c:f>
              <c:numCache>
                <c:formatCode>General</c:formatCode>
                <c:ptCount val="5"/>
                <c:pt idx="0">
                  <c:v>0.48577586206896556</c:v>
                </c:pt>
                <c:pt idx="1">
                  <c:v>0.52090517241379308</c:v>
                </c:pt>
                <c:pt idx="2">
                  <c:v>0.73900862068965523</c:v>
                </c:pt>
                <c:pt idx="3">
                  <c:v>1.2480603448275864</c:v>
                </c:pt>
                <c:pt idx="4">
                  <c:v>5.6081896551724135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41-874B-99A0-3DE58DA512A1}"/>
            </c:ext>
          </c:extLst>
        </c:ser>
        <c:ser>
          <c:idx val="2"/>
          <c:order val="2"/>
          <c:spPr>
            <a:ln w="28575">
              <a:noFill/>
            </a:ln>
          </c:spPr>
          <c:xVal>
            <c:numRef>
              <c:f>Data!$G$57:$G$64</c:f>
              <c:numCache>
                <c:formatCode>0.00E+00</c:formatCode>
                <c:ptCount val="8"/>
                <c:pt idx="0">
                  <c:v>7.6242140865771227E-4</c:v>
                </c:pt>
                <c:pt idx="1">
                  <c:v>2.3222123725702335E-3</c:v>
                </c:pt>
                <c:pt idx="2">
                  <c:v>4.3439933094812149E-3</c:v>
                </c:pt>
                <c:pt idx="3">
                  <c:v>7.5812953100543711E-3</c:v>
                </c:pt>
                <c:pt idx="4">
                  <c:v>1.2777532896201626E-2</c:v>
                </c:pt>
                <c:pt idx="5">
                  <c:v>2.3908824150066333E-2</c:v>
                </c:pt>
                <c:pt idx="6">
                  <c:v>4.3194682943253578E-2</c:v>
                </c:pt>
                <c:pt idx="7">
                  <c:v>7.5383765335316225E-2</c:v>
                </c:pt>
              </c:numCache>
            </c:numRef>
          </c:xVal>
          <c:yVal>
            <c:numRef>
              <c:f>Data!$H$57:$H$64</c:f>
              <c:numCache>
                <c:formatCode>General</c:formatCode>
                <c:ptCount val="8"/>
                <c:pt idx="0">
                  <c:v>0.31890547263681596</c:v>
                </c:pt>
                <c:pt idx="1">
                  <c:v>0.66417910447761197</c:v>
                </c:pt>
                <c:pt idx="2">
                  <c:v>0.71194029850746277</c:v>
                </c:pt>
                <c:pt idx="3">
                  <c:v>1.0099502487562189</c:v>
                </c:pt>
                <c:pt idx="4">
                  <c:v>1.1611940298507464</c:v>
                </c:pt>
                <c:pt idx="5">
                  <c:v>1.8945273631840798</c:v>
                </c:pt>
                <c:pt idx="6">
                  <c:v>2.0313432835820899</c:v>
                </c:pt>
                <c:pt idx="7">
                  <c:v>3.0895522388059704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41-874B-99A0-3DE58DA512A1}"/>
            </c:ext>
          </c:extLst>
        </c:ser>
        <c:ser>
          <c:idx val="3"/>
          <c:order val="3"/>
          <c:spPr>
            <a:ln w="28575">
              <a:noFill/>
            </a:ln>
          </c:spPr>
          <c:xVal>
            <c:numRef>
              <c:f>Data!$G$73:$G$79</c:f>
              <c:numCache>
                <c:formatCode>0.00E+00</c:formatCode>
                <c:ptCount val="7"/>
                <c:pt idx="0">
                  <c:v>3.2267227492610601E-2</c:v>
                </c:pt>
                <c:pt idx="1">
                  <c:v>0.10176337675559</c:v>
                </c:pt>
                <c:pt idx="2">
                  <c:v>0.32429374364432761</c:v>
                </c:pt>
                <c:pt idx="3">
                  <c:v>0.97288123093298284</c:v>
                </c:pt>
                <c:pt idx="4">
                  <c:v>3.2429374364432761</c:v>
                </c:pt>
                <c:pt idx="5">
                  <c:v>6.4858748728865523</c:v>
                </c:pt>
                <c:pt idx="6">
                  <c:v>9.7288123093298271</c:v>
                </c:pt>
              </c:numCache>
            </c:numRef>
          </c:xVal>
          <c:yVal>
            <c:numRef>
              <c:f>Data!$H$73:$H$79</c:f>
              <c:numCache>
                <c:formatCode>General</c:formatCode>
                <c:ptCount val="7"/>
                <c:pt idx="0">
                  <c:v>1.1214953271028039</c:v>
                </c:pt>
                <c:pt idx="1">
                  <c:v>1.7757009345794392</c:v>
                </c:pt>
                <c:pt idx="2">
                  <c:v>2.8971962616822431</c:v>
                </c:pt>
                <c:pt idx="3">
                  <c:v>6.6355140186915884</c:v>
                </c:pt>
                <c:pt idx="4">
                  <c:v>12.897196261682245</c:v>
                </c:pt>
                <c:pt idx="5">
                  <c:v>21.028037383177573</c:v>
                </c:pt>
                <c:pt idx="6">
                  <c:v>52.056074766355145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41-874B-99A0-3DE58DA512A1}"/>
            </c:ext>
          </c:extLst>
        </c:ser>
        <c:ser>
          <c:idx val="4"/>
          <c:order val="4"/>
          <c:spPr>
            <a:ln w="28575">
              <a:noFill/>
            </a:ln>
          </c:spPr>
          <c:xVal>
            <c:numRef>
              <c:f>Data!$G$81:$G$88</c:f>
              <c:numCache>
                <c:formatCode>0.00E+00</c:formatCode>
                <c:ptCount val="8"/>
                <c:pt idx="0">
                  <c:v>2.458455428008427E-2</c:v>
                </c:pt>
                <c:pt idx="1">
                  <c:v>7.753400133759239E-2</c:v>
                </c:pt>
                <c:pt idx="2">
                  <c:v>0.24708094753853535</c:v>
                </c:pt>
                <c:pt idx="3">
                  <c:v>0.74124284261560602</c:v>
                </c:pt>
                <c:pt idx="4">
                  <c:v>2.4708094753853533</c:v>
                </c:pt>
                <c:pt idx="5">
                  <c:v>4.9416189507707067</c:v>
                </c:pt>
                <c:pt idx="6">
                  <c:v>7.41242842615606</c:v>
                </c:pt>
                <c:pt idx="7">
                  <c:v>12.601128324465302</c:v>
                </c:pt>
              </c:numCache>
            </c:numRef>
          </c:xVal>
          <c:yVal>
            <c:numRef>
              <c:f>Data!$H$81:$H$88</c:f>
              <c:numCache>
                <c:formatCode>General</c:formatCode>
                <c:ptCount val="8"/>
                <c:pt idx="0">
                  <c:v>0.8771929824561403</c:v>
                </c:pt>
                <c:pt idx="1">
                  <c:v>1.2280701754385965</c:v>
                </c:pt>
                <c:pt idx="2">
                  <c:v>2.2807017543859649</c:v>
                </c:pt>
                <c:pt idx="3">
                  <c:v>4.2105263157894735</c:v>
                </c:pt>
                <c:pt idx="4">
                  <c:v>10</c:v>
                </c:pt>
                <c:pt idx="5">
                  <c:v>12.807017543859647</c:v>
                </c:pt>
                <c:pt idx="6">
                  <c:v>20.350877192982455</c:v>
                </c:pt>
                <c:pt idx="7">
                  <c:v>101.22807017543859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41-874B-99A0-3DE58DA512A1}"/>
            </c:ext>
          </c:extLst>
        </c:ser>
        <c:ser>
          <c:idx val="5"/>
          <c:order val="5"/>
          <c:spPr>
            <a:ln w="28575">
              <a:noFill/>
            </a:ln>
          </c:spPr>
          <c:xVal>
            <c:numRef>
              <c:f>Data!$G$90:$G$93</c:f>
              <c:numCache>
                <c:formatCode>0.00E+00</c:formatCode>
                <c:ptCount val="4"/>
                <c:pt idx="0">
                  <c:v>1.7789828222774544</c:v>
                </c:pt>
                <c:pt idx="1">
                  <c:v>2.9649713704624236</c:v>
                </c:pt>
                <c:pt idx="2">
                  <c:v>5.9299427409248473</c:v>
                </c:pt>
                <c:pt idx="3">
                  <c:v>7.2641798576329384</c:v>
                </c:pt>
              </c:numCache>
            </c:numRef>
          </c:xVal>
          <c:yVal>
            <c:numRef>
              <c:f>Data!$H$90:$H$93</c:f>
              <c:numCache>
                <c:formatCode>General</c:formatCode>
                <c:ptCount val="4"/>
                <c:pt idx="0">
                  <c:v>7.0588235294117654</c:v>
                </c:pt>
                <c:pt idx="1">
                  <c:v>10.588235294117647</c:v>
                </c:pt>
                <c:pt idx="2">
                  <c:v>22.941176470588236</c:v>
                </c:pt>
                <c:pt idx="3">
                  <c:v>40.000000000000007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41-874B-99A0-3DE58DA51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959752"/>
        <c:axId val="2078963000"/>
      </c:scatterChart>
      <c:valAx>
        <c:axId val="2078959752"/>
        <c:scaling>
          <c:logBase val="10"/>
          <c:orientation val="minMax"/>
        </c:scaling>
        <c:delete val="0"/>
        <c:axPos val="b"/>
        <c:majorGridlines/>
        <c:numFmt formatCode="0.00E+00" sourceLinked="1"/>
        <c:majorTickMark val="out"/>
        <c:minorTickMark val="none"/>
        <c:tickLblPos val="nextTo"/>
        <c:crossAx val="2078963000"/>
        <c:crosses val="autoZero"/>
        <c:crossBetween val="midCat"/>
      </c:valAx>
      <c:valAx>
        <c:axId val="207896300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959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'l0 analysis'!$D$43:$D$69</c:f>
              <c:numCache>
                <c:formatCode>General</c:formatCode>
                <c:ptCount val="27"/>
                <c:pt idx="0">
                  <c:v>4.9472729277954611E-2</c:v>
                </c:pt>
                <c:pt idx="1">
                  <c:v>7.2306296637010589E-2</c:v>
                </c:pt>
                <c:pt idx="2">
                  <c:v>8.3723080316538578E-2</c:v>
                </c:pt>
                <c:pt idx="3">
                  <c:v>0.10084825583583056</c:v>
                </c:pt>
                <c:pt idx="4">
                  <c:v>0.13985560007421785</c:v>
                </c:pt>
                <c:pt idx="5">
                  <c:v>0.14366119463406052</c:v>
                </c:pt>
                <c:pt idx="6">
                  <c:v>0.15507797831358852</c:v>
                </c:pt>
                <c:pt idx="7">
                  <c:v>0.20645350487146444</c:v>
                </c:pt>
                <c:pt idx="8">
                  <c:v>0.24831504502973378</c:v>
                </c:pt>
                <c:pt idx="9">
                  <c:v>0.29303078110788505</c:v>
                </c:pt>
                <c:pt idx="10">
                  <c:v>0.35201749678544636</c:v>
                </c:pt>
                <c:pt idx="11">
                  <c:v>0.43954617166182763</c:v>
                </c:pt>
                <c:pt idx="12">
                  <c:v>0.49853288733938889</c:v>
                </c:pt>
                <c:pt idx="13">
                  <c:v>0.57369337989628144</c:v>
                </c:pt>
                <c:pt idx="14">
                  <c:v>0.62982589965396074</c:v>
                </c:pt>
                <c:pt idx="15">
                  <c:v>1.0313161257173618</c:v>
                </c:pt>
                <c:pt idx="16">
                  <c:v>1.35764585922387</c:v>
                </c:pt>
                <c:pt idx="17">
                  <c:v>2.933162006998733</c:v>
                </c:pt>
                <c:pt idx="18">
                  <c:v>4.3859477302186693</c:v>
                </c:pt>
                <c:pt idx="19">
                  <c:v>5.211761749704527</c:v>
                </c:pt>
                <c:pt idx="20">
                  <c:v>5.6494051240864325</c:v>
                </c:pt>
                <c:pt idx="21">
                  <c:v>7.1516635765843244</c:v>
                </c:pt>
                <c:pt idx="22">
                  <c:v>9.8574413086324579</c:v>
                </c:pt>
                <c:pt idx="23">
                  <c:v>11.322595214171884</c:v>
                </c:pt>
                <c:pt idx="24">
                  <c:v>14.435571564123181</c:v>
                </c:pt>
                <c:pt idx="25">
                  <c:v>15.77799504510768</c:v>
                </c:pt>
                <c:pt idx="26">
                  <c:v>21.224752258882493</c:v>
                </c:pt>
              </c:numCache>
            </c:numRef>
          </c:xVal>
          <c:yVal>
            <c:numRef>
              <c:f>'l0 analysis'!$B$43:$B$69</c:f>
              <c:numCache>
                <c:formatCode>General</c:formatCode>
                <c:ptCount val="27"/>
                <c:pt idx="0">
                  <c:v>5.3999999999999999E-2</c:v>
                </c:pt>
                <c:pt idx="1">
                  <c:v>7.6999999999999999E-2</c:v>
                </c:pt>
                <c:pt idx="2">
                  <c:v>9.6000000000000002E-2</c:v>
                </c:pt>
                <c:pt idx="3">
                  <c:v>0.107</c:v>
                </c:pt>
                <c:pt idx="4">
                  <c:v>0.152</c:v>
                </c:pt>
                <c:pt idx="5">
                  <c:v>0.16400000000000001</c:v>
                </c:pt>
                <c:pt idx="6">
                  <c:v>0.16</c:v>
                </c:pt>
                <c:pt idx="7">
                  <c:v>0.23799999999999999</c:v>
                </c:pt>
                <c:pt idx="8">
                  <c:v>0.28899999999999998</c:v>
                </c:pt>
                <c:pt idx="9">
                  <c:v>0.32500000000000001</c:v>
                </c:pt>
                <c:pt idx="10">
                  <c:v>0.42899999999999999</c:v>
                </c:pt>
                <c:pt idx="11">
                  <c:v>0.53500000000000003</c:v>
                </c:pt>
                <c:pt idx="12">
                  <c:v>0.63700000000000001</c:v>
                </c:pt>
                <c:pt idx="13">
                  <c:v>0.73199999999999998</c:v>
                </c:pt>
                <c:pt idx="14">
                  <c:v>0.872</c:v>
                </c:pt>
                <c:pt idx="15">
                  <c:v>2.0099999999999998</c:v>
                </c:pt>
                <c:pt idx="16">
                  <c:v>3.702</c:v>
                </c:pt>
                <c:pt idx="17">
                  <c:v>10.904</c:v>
                </c:pt>
                <c:pt idx="18">
                  <c:v>62.039000000000001</c:v>
                </c:pt>
                <c:pt idx="19">
                  <c:v>89.61</c:v>
                </c:pt>
                <c:pt idx="20">
                  <c:v>138.71299999999999</c:v>
                </c:pt>
                <c:pt idx="21">
                  <c:v>172.10900000000001</c:v>
                </c:pt>
                <c:pt idx="22">
                  <c:v>609.19000000000005</c:v>
                </c:pt>
                <c:pt idx="23">
                  <c:v>936.02599999999995</c:v>
                </c:pt>
                <c:pt idx="24">
                  <c:v>3087.7350000000001</c:v>
                </c:pt>
                <c:pt idx="25">
                  <c:v>6236.0050000000001</c:v>
                </c:pt>
                <c:pt idx="26">
                  <c:v>37638.074000000001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3-AB4F-8173-3EBA9DFB57FE}"/>
            </c:ext>
          </c:extLst>
        </c:ser>
        <c:ser>
          <c:idx val="1"/>
          <c:order val="1"/>
          <c:spPr>
            <a:ln w="476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'l0 analysis'!$D$43:$D$69</c:f>
              <c:numCache>
                <c:formatCode>General</c:formatCode>
                <c:ptCount val="27"/>
                <c:pt idx="0">
                  <c:v>4.9472729277954611E-2</c:v>
                </c:pt>
                <c:pt idx="1">
                  <c:v>7.2306296637010589E-2</c:v>
                </c:pt>
                <c:pt idx="2">
                  <c:v>8.3723080316538578E-2</c:v>
                </c:pt>
                <c:pt idx="3">
                  <c:v>0.10084825583583056</c:v>
                </c:pt>
                <c:pt idx="4">
                  <c:v>0.13985560007421785</c:v>
                </c:pt>
                <c:pt idx="5">
                  <c:v>0.14366119463406052</c:v>
                </c:pt>
                <c:pt idx="6">
                  <c:v>0.15507797831358852</c:v>
                </c:pt>
                <c:pt idx="7">
                  <c:v>0.20645350487146444</c:v>
                </c:pt>
                <c:pt idx="8">
                  <c:v>0.24831504502973378</c:v>
                </c:pt>
                <c:pt idx="9">
                  <c:v>0.29303078110788505</c:v>
                </c:pt>
                <c:pt idx="10">
                  <c:v>0.35201749678544636</c:v>
                </c:pt>
                <c:pt idx="11">
                  <c:v>0.43954617166182763</c:v>
                </c:pt>
                <c:pt idx="12">
                  <c:v>0.49853288733938889</c:v>
                </c:pt>
                <c:pt idx="13">
                  <c:v>0.57369337989628144</c:v>
                </c:pt>
                <c:pt idx="14">
                  <c:v>0.62982589965396074</c:v>
                </c:pt>
                <c:pt idx="15">
                  <c:v>1.0313161257173618</c:v>
                </c:pt>
                <c:pt idx="16">
                  <c:v>1.35764585922387</c:v>
                </c:pt>
                <c:pt idx="17">
                  <c:v>2.933162006998733</c:v>
                </c:pt>
                <c:pt idx="18">
                  <c:v>4.3859477302186693</c:v>
                </c:pt>
                <c:pt idx="19">
                  <c:v>5.211761749704527</c:v>
                </c:pt>
                <c:pt idx="20">
                  <c:v>5.6494051240864325</c:v>
                </c:pt>
                <c:pt idx="21">
                  <c:v>7.1516635765843244</c:v>
                </c:pt>
                <c:pt idx="22">
                  <c:v>9.8574413086324579</c:v>
                </c:pt>
                <c:pt idx="23">
                  <c:v>11.322595214171884</c:v>
                </c:pt>
                <c:pt idx="24">
                  <c:v>14.435571564123181</c:v>
                </c:pt>
                <c:pt idx="25">
                  <c:v>15.77799504510768</c:v>
                </c:pt>
                <c:pt idx="26">
                  <c:v>21.224752258882493</c:v>
                </c:pt>
              </c:numCache>
            </c:numRef>
          </c:xVal>
          <c:yVal>
            <c:numRef>
              <c:f>'l0 analysis'!$E$43:$E$69</c:f>
              <c:numCache>
                <c:formatCode>General</c:formatCode>
                <c:ptCount val="27"/>
                <c:pt idx="0">
                  <c:v>5.2955064726183811E-2</c:v>
                </c:pt>
                <c:pt idx="1">
                  <c:v>7.8048727274384638E-2</c:v>
                </c:pt>
                <c:pt idx="2">
                  <c:v>9.0752572012439039E-2</c:v>
                </c:pt>
                <c:pt idx="3">
                  <c:v>0.11000646030486115</c:v>
                </c:pt>
                <c:pt idx="4">
                  <c:v>0.15476109213688213</c:v>
                </c:pt>
                <c:pt idx="5">
                  <c:v>0.15919499537268358</c:v>
                </c:pt>
                <c:pt idx="6">
                  <c:v>0.17256952535502595</c:v>
                </c:pt>
                <c:pt idx="7">
                  <c:v>0.2341231721408647</c:v>
                </c:pt>
                <c:pt idx="8">
                  <c:v>0.28596528070737687</c:v>
                </c:pt>
                <c:pt idx="9">
                  <c:v>0.3430580870999928</c:v>
                </c:pt>
                <c:pt idx="10">
                  <c:v>0.42115587124123033</c:v>
                </c:pt>
                <c:pt idx="11">
                  <c:v>0.54308448170454482</c:v>
                </c:pt>
                <c:pt idx="12">
                  <c:v>0.62947849087914143</c:v>
                </c:pt>
                <c:pt idx="13">
                  <c:v>0.74468938364035653</c:v>
                </c:pt>
                <c:pt idx="14">
                  <c:v>0.83461083967120886</c:v>
                </c:pt>
                <c:pt idx="15">
                  <c:v>1.5841657103136448</c:v>
                </c:pt>
                <c:pt idx="16">
                  <c:v>2.3514316101842381</c:v>
                </c:pt>
                <c:pt idx="17">
                  <c:v>9.0698266265841401</c:v>
                </c:pt>
                <c:pt idx="18">
                  <c:v>23.143821545050834</c:v>
                </c:pt>
                <c:pt idx="19">
                  <c:v>37.264460500137197</c:v>
                </c:pt>
                <c:pt idx="20">
                  <c:v>47.449803143911502</c:v>
                </c:pt>
                <c:pt idx="21">
                  <c:v>104.38825010162223</c:v>
                </c:pt>
                <c:pt idx="22">
                  <c:v>389.31888254081537</c:v>
                </c:pt>
                <c:pt idx="23">
                  <c:v>766.60557876309826</c:v>
                </c:pt>
                <c:pt idx="24">
                  <c:v>3071.9491228037687</c:v>
                </c:pt>
                <c:pt idx="25">
                  <c:v>5501.8428301814565</c:v>
                </c:pt>
                <c:pt idx="26">
                  <c:v>54892.948931749524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3-AB4F-8173-3EBA9DFB5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999128"/>
        <c:axId val="2079001992"/>
      </c:scatterChart>
      <c:valAx>
        <c:axId val="2078999128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9001992"/>
        <c:crosses val="autoZero"/>
        <c:crossBetween val="midCat"/>
      </c:valAx>
      <c:valAx>
        <c:axId val="207900199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999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'l0 analysis'!$A$43:$A$69</c:f>
              <c:numCache>
                <c:formatCode>General</c:formatCode>
                <c:ptCount val="27"/>
                <c:pt idx="0">
                  <c:v>5.1999999999999998E-2</c:v>
                </c:pt>
                <c:pt idx="1">
                  <c:v>7.5999999999999998E-2</c:v>
                </c:pt>
                <c:pt idx="2">
                  <c:v>8.7999999999999995E-2</c:v>
                </c:pt>
                <c:pt idx="3">
                  <c:v>0.106</c:v>
                </c:pt>
                <c:pt idx="4">
                  <c:v>0.14699999999999999</c:v>
                </c:pt>
                <c:pt idx="5">
                  <c:v>0.151</c:v>
                </c:pt>
                <c:pt idx="6">
                  <c:v>0.16300000000000001</c:v>
                </c:pt>
                <c:pt idx="7">
                  <c:v>0.217</c:v>
                </c:pt>
                <c:pt idx="8">
                  <c:v>0.26100000000000001</c:v>
                </c:pt>
                <c:pt idx="9">
                  <c:v>0.308</c:v>
                </c:pt>
                <c:pt idx="10">
                  <c:v>0.37</c:v>
                </c:pt>
                <c:pt idx="11">
                  <c:v>0.46200000000000002</c:v>
                </c:pt>
                <c:pt idx="12">
                  <c:v>0.52400000000000002</c:v>
                </c:pt>
                <c:pt idx="13">
                  <c:v>0.60299999999999998</c:v>
                </c:pt>
                <c:pt idx="14">
                  <c:v>0.66200000000000003</c:v>
                </c:pt>
                <c:pt idx="15">
                  <c:v>1.0840000000000001</c:v>
                </c:pt>
                <c:pt idx="16">
                  <c:v>1.427</c:v>
                </c:pt>
                <c:pt idx="17">
                  <c:v>3.0830000000000002</c:v>
                </c:pt>
                <c:pt idx="18">
                  <c:v>4.6100000000000003</c:v>
                </c:pt>
                <c:pt idx="19">
                  <c:v>5.4779999999999998</c:v>
                </c:pt>
                <c:pt idx="20">
                  <c:v>5.9379999999999997</c:v>
                </c:pt>
                <c:pt idx="21">
                  <c:v>7.5170000000000003</c:v>
                </c:pt>
                <c:pt idx="22">
                  <c:v>10.361000000000001</c:v>
                </c:pt>
                <c:pt idx="23">
                  <c:v>11.901</c:v>
                </c:pt>
                <c:pt idx="24">
                  <c:v>15.173</c:v>
                </c:pt>
                <c:pt idx="25">
                  <c:v>16.584</c:v>
                </c:pt>
                <c:pt idx="26">
                  <c:v>22.309000000000001</c:v>
                </c:pt>
              </c:numCache>
            </c:numRef>
          </c:xVal>
          <c:yVal>
            <c:numRef>
              <c:f>'l0 analysis'!$B$43:$B$69</c:f>
              <c:numCache>
                <c:formatCode>General</c:formatCode>
                <c:ptCount val="27"/>
                <c:pt idx="0">
                  <c:v>5.3999999999999999E-2</c:v>
                </c:pt>
                <c:pt idx="1">
                  <c:v>7.6999999999999999E-2</c:v>
                </c:pt>
                <c:pt idx="2">
                  <c:v>9.6000000000000002E-2</c:v>
                </c:pt>
                <c:pt idx="3">
                  <c:v>0.107</c:v>
                </c:pt>
                <c:pt idx="4">
                  <c:v>0.152</c:v>
                </c:pt>
                <c:pt idx="5">
                  <c:v>0.16400000000000001</c:v>
                </c:pt>
                <c:pt idx="6">
                  <c:v>0.16</c:v>
                </c:pt>
                <c:pt idx="7">
                  <c:v>0.23799999999999999</c:v>
                </c:pt>
                <c:pt idx="8">
                  <c:v>0.28899999999999998</c:v>
                </c:pt>
                <c:pt idx="9">
                  <c:v>0.32500000000000001</c:v>
                </c:pt>
                <c:pt idx="10">
                  <c:v>0.42899999999999999</c:v>
                </c:pt>
                <c:pt idx="11">
                  <c:v>0.53500000000000003</c:v>
                </c:pt>
                <c:pt idx="12">
                  <c:v>0.63700000000000001</c:v>
                </c:pt>
                <c:pt idx="13">
                  <c:v>0.73199999999999998</c:v>
                </c:pt>
                <c:pt idx="14">
                  <c:v>0.872</c:v>
                </c:pt>
                <c:pt idx="15">
                  <c:v>2.0099999999999998</c:v>
                </c:pt>
                <c:pt idx="16">
                  <c:v>3.702</c:v>
                </c:pt>
                <c:pt idx="17">
                  <c:v>10.904</c:v>
                </c:pt>
                <c:pt idx="18">
                  <c:v>62.039000000000001</c:v>
                </c:pt>
                <c:pt idx="19">
                  <c:v>89.61</c:v>
                </c:pt>
                <c:pt idx="20">
                  <c:v>138.71299999999999</c:v>
                </c:pt>
                <c:pt idx="21">
                  <c:v>172.10900000000001</c:v>
                </c:pt>
                <c:pt idx="22">
                  <c:v>609.19000000000005</c:v>
                </c:pt>
                <c:pt idx="23">
                  <c:v>936.02599999999995</c:v>
                </c:pt>
                <c:pt idx="24">
                  <c:v>3087.7350000000001</c:v>
                </c:pt>
                <c:pt idx="25">
                  <c:v>6236.0050000000001</c:v>
                </c:pt>
                <c:pt idx="26">
                  <c:v>37638.074000000001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4-7648-8CD9-268949D20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026296"/>
        <c:axId val="2079029256"/>
      </c:scatterChart>
      <c:valAx>
        <c:axId val="2079026296"/>
        <c:scaling>
          <c:orientation val="minMax"/>
          <c:max val="5"/>
        </c:scaling>
        <c:delete val="0"/>
        <c:axPos val="b"/>
        <c:numFmt formatCode="General" sourceLinked="1"/>
        <c:majorTickMark val="out"/>
        <c:minorTickMark val="none"/>
        <c:tickLblPos val="nextTo"/>
        <c:crossAx val="2079029256"/>
        <c:crosses val="autoZero"/>
        <c:crossBetween val="midCat"/>
      </c:valAx>
      <c:valAx>
        <c:axId val="207902925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026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389776357827482E-2"/>
          <c:y val="7.4548702245552642E-2"/>
          <c:w val="0.64514477623204447"/>
          <c:h val="0.89719889180519097"/>
        </c:manualLayout>
      </c:layout>
      <c:scatterChart>
        <c:scatterStyle val="lineMarker"/>
        <c:varyColors val="0"/>
        <c:ser>
          <c:idx val="4"/>
          <c:order val="4"/>
          <c:spPr>
            <a:ln w="47625">
              <a:noFill/>
            </a:ln>
          </c:spPr>
          <c:marker>
            <c:symbol val="none"/>
          </c:marker>
          <c:xVal>
            <c:numRef>
              <c:f>DEP!$AH$2:$AH$21</c:f>
              <c:numCache>
                <c:formatCode>0.00E+00</c:formatCode>
                <c:ptCount val="20"/>
                <c:pt idx="0">
                  <c:v>6.3926187136509063E-2</c:v>
                </c:pt>
                <c:pt idx="1">
                  <c:v>0.20200675135136861</c:v>
                </c:pt>
                <c:pt idx="2">
                  <c:v>0.63926187136509061</c:v>
                </c:pt>
                <c:pt idx="3">
                  <c:v>2.0200675135136863</c:v>
                </c:pt>
                <c:pt idx="4">
                  <c:v>6.3926187136509052</c:v>
                </c:pt>
                <c:pt idx="5">
                  <c:v>12.78523742730181</c:v>
                </c:pt>
                <c:pt idx="6">
                  <c:v>4.9353994727687527E-2</c:v>
                </c:pt>
                <c:pt idx="7">
                  <c:v>0.15595862333949256</c:v>
                </c:pt>
                <c:pt idx="8">
                  <c:v>0.49353994727687522</c:v>
                </c:pt>
                <c:pt idx="9">
                  <c:v>1.5595862333949257</c:v>
                </c:pt>
                <c:pt idx="10">
                  <c:v>4.9353994727687525</c:v>
                </c:pt>
                <c:pt idx="11">
                  <c:v>9.8707989455375049</c:v>
                </c:pt>
                <c:pt idx="12">
                  <c:v>14.806198418306257</c:v>
                </c:pt>
                <c:pt idx="13">
                  <c:v>24.676997363843768</c:v>
                </c:pt>
                <c:pt idx="14">
                  <c:v>3.0101682129171485</c:v>
                </c:pt>
                <c:pt idx="15">
                  <c:v>4.2142354980840091</c:v>
                </c:pt>
                <c:pt idx="16">
                  <c:v>6.0203364258342971</c:v>
                </c:pt>
                <c:pt idx="17">
                  <c:v>9.0305046387514469</c:v>
                </c:pt>
                <c:pt idx="18">
                  <c:v>12.040672851668594</c:v>
                </c:pt>
              </c:numCache>
            </c:numRef>
          </c:xVal>
          <c:yVal>
            <c:numRef>
              <c:f>DEP!$AK$2:$AK$23</c:f>
              <c:numCache>
                <c:formatCode>General</c:formatCode>
                <c:ptCount val="22"/>
                <c:pt idx="0">
                  <c:v>1.1200000000000001</c:v>
                </c:pt>
                <c:pt idx="1">
                  <c:v>1.819</c:v>
                </c:pt>
                <c:pt idx="2">
                  <c:v>2.7839999999999998</c:v>
                </c:pt>
                <c:pt idx="3">
                  <c:v>6.7530000000000001</c:v>
                </c:pt>
                <c:pt idx="4">
                  <c:v>13.227</c:v>
                </c:pt>
                <c:pt idx="5">
                  <c:v>52.497999999999998</c:v>
                </c:pt>
                <c:pt idx="6">
                  <c:v>0.81</c:v>
                </c:pt>
                <c:pt idx="7">
                  <c:v>1.1100000000000001</c:v>
                </c:pt>
                <c:pt idx="8">
                  <c:v>2.3029999999999999</c:v>
                </c:pt>
                <c:pt idx="9">
                  <c:v>4.1020000000000003</c:v>
                </c:pt>
                <c:pt idx="10">
                  <c:v>9.75</c:v>
                </c:pt>
                <c:pt idx="11">
                  <c:v>12.58</c:v>
                </c:pt>
                <c:pt idx="12">
                  <c:v>19.79</c:v>
                </c:pt>
                <c:pt idx="13">
                  <c:v>95.07</c:v>
                </c:pt>
                <c:pt idx="14">
                  <c:v>7.0350000000000001</c:v>
                </c:pt>
                <c:pt idx="15">
                  <c:v>11.042</c:v>
                </c:pt>
                <c:pt idx="16">
                  <c:v>15.006</c:v>
                </c:pt>
                <c:pt idx="17">
                  <c:v>22.382000000000001</c:v>
                </c:pt>
                <c:pt idx="18">
                  <c:v>40.863999999999997</c:v>
                </c:pt>
                <c:pt idx="2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1-704E-924C-3979051426D0}"/>
            </c:ext>
          </c:extLst>
        </c:ser>
        <c:ser>
          <c:idx val="5"/>
          <c:order val="5"/>
          <c:spPr>
            <a:ln w="47625">
              <a:noFill/>
            </a:ln>
          </c:spPr>
          <c:marker>
            <c:symbol val="none"/>
          </c:marke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Boger!$AN$2:$AN$33</c:f>
              <c:numCache>
                <c:formatCode>General</c:formatCode>
                <c:ptCount val="32"/>
                <c:pt idx="0">
                  <c:v>0.63667101288292904</c:v>
                </c:pt>
                <c:pt idx="1">
                  <c:v>0.78331831635205196</c:v>
                </c:pt>
                <c:pt idx="2">
                  <c:v>1.93139748211354</c:v>
                </c:pt>
                <c:pt idx="3">
                  <c:v>3.5302052704955602</c:v>
                </c:pt>
                <c:pt idx="4">
                  <c:v>5.14644662302433</c:v>
                </c:pt>
                <c:pt idx="5">
                  <c:v>7.14371495421398</c:v>
                </c:pt>
                <c:pt idx="6">
                  <c:v>0.52428479977790399</c:v>
                </c:pt>
                <c:pt idx="7">
                  <c:v>0.64208628537408596</c:v>
                </c:pt>
                <c:pt idx="8">
                  <c:v>1.5895386940346701</c:v>
                </c:pt>
                <c:pt idx="9">
                  <c:v>2.8697106020554299</c:v>
                </c:pt>
                <c:pt idx="10">
                  <c:v>4.15235493230547</c:v>
                </c:pt>
                <c:pt idx="11">
                  <c:v>5.7754003765356501</c:v>
                </c:pt>
                <c:pt idx="12">
                  <c:v>0.18047346061740499</c:v>
                </c:pt>
                <c:pt idx="13">
                  <c:v>0.28687013616971402</c:v>
                </c:pt>
                <c:pt idx="14">
                  <c:v>0.49445707362089297</c:v>
                </c:pt>
                <c:pt idx="15">
                  <c:v>0.80177626110511802</c:v>
                </c:pt>
                <c:pt idx="16">
                  <c:v>1.20666614136915</c:v>
                </c:pt>
                <c:pt idx="17">
                  <c:v>1.68793673414753</c:v>
                </c:pt>
                <c:pt idx="18">
                  <c:v>2.1800590532492201</c:v>
                </c:pt>
                <c:pt idx="19">
                  <c:v>0.20072674656273601</c:v>
                </c:pt>
                <c:pt idx="20">
                  <c:v>0.78702326375895504</c:v>
                </c:pt>
                <c:pt idx="21">
                  <c:v>1.2678396432666801</c:v>
                </c:pt>
                <c:pt idx="22">
                  <c:v>1.98231384446381</c:v>
                </c:pt>
                <c:pt idx="23">
                  <c:v>2.5047228181454</c:v>
                </c:pt>
                <c:pt idx="24">
                  <c:v>2.8253613021106401</c:v>
                </c:pt>
                <c:pt idx="25">
                  <c:v>3.0732428970814998</c:v>
                </c:pt>
                <c:pt idx="26">
                  <c:v>3.5488398570392401</c:v>
                </c:pt>
                <c:pt idx="27">
                  <c:v>0.40786857663000697</c:v>
                </c:pt>
                <c:pt idx="28">
                  <c:v>1.6640288535843499</c:v>
                </c:pt>
                <c:pt idx="29">
                  <c:v>2.58004232746877</c:v>
                </c:pt>
                <c:pt idx="30">
                  <c:v>3.8999583855528601</c:v>
                </c:pt>
                <c:pt idx="31">
                  <c:v>5.4876149485629302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1-704E-924C-3979051426D0}"/>
            </c:ext>
          </c:extLst>
        </c:ser>
        <c:ser>
          <c:idx val="6"/>
          <c:order val="6"/>
          <c:spPr>
            <a:ln w="47625">
              <a:noFill/>
            </a:ln>
          </c:spPr>
          <c:marker>
            <c:symbol val="none"/>
          </c:marker>
          <c:xVal>
            <c:numRef>
              <c:f>Boger!$AH$2:$AH$7</c:f>
              <c:numCache>
                <c:formatCode>0.00E+00</c:formatCode>
                <c:ptCount val="6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</c:numCache>
            </c:numRef>
          </c:xVal>
          <c:yVal>
            <c:numRef>
              <c:f>Boger!$AK$2:$AK$7</c:f>
              <c:numCache>
                <c:formatCode>General</c:formatCode>
                <c:ptCount val="6"/>
                <c:pt idx="0">
                  <c:v>0.32400000000000001</c:v>
                </c:pt>
                <c:pt idx="1">
                  <c:v>0.39</c:v>
                </c:pt>
                <c:pt idx="2">
                  <c:v>0.80500000000000005</c:v>
                </c:pt>
                <c:pt idx="3">
                  <c:v>1.875</c:v>
                </c:pt>
                <c:pt idx="4">
                  <c:v>5.87</c:v>
                </c:pt>
                <c:pt idx="5">
                  <c:v>18.178000000000001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1-704E-924C-3979051426D0}"/>
            </c:ext>
          </c:extLst>
        </c:ser>
        <c:ser>
          <c:idx val="7"/>
          <c:order val="7"/>
          <c:spPr>
            <a:ln w="47625">
              <a:noFill/>
            </a:ln>
          </c:spPr>
          <c:marker>
            <c:symbol val="none"/>
          </c:marke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Boger!$AP$2:$AP$33</c:f>
              <c:numCache>
                <c:formatCode>General</c:formatCode>
                <c:ptCount val="32"/>
                <c:pt idx="0">
                  <c:v>0.28038081212027099</c:v>
                </c:pt>
                <c:pt idx="1">
                  <c:v>0.330886253486251</c:v>
                </c:pt>
                <c:pt idx="2">
                  <c:v>0.66673378548898499</c:v>
                </c:pt>
                <c:pt idx="3">
                  <c:v>0.92478651325347305</c:v>
                </c:pt>
                <c:pt idx="4">
                  <c:v>1.0258806572285299</c:v>
                </c:pt>
                <c:pt idx="5">
                  <c:v>1.05060092035018</c:v>
                </c:pt>
                <c:pt idx="6">
                  <c:v>0.28034764649121502</c:v>
                </c:pt>
                <c:pt idx="7">
                  <c:v>0.33834158287259303</c:v>
                </c:pt>
                <c:pt idx="8">
                  <c:v>0.66506700887682002</c:v>
                </c:pt>
                <c:pt idx="9">
                  <c:v>0.92908890628315399</c:v>
                </c:pt>
                <c:pt idx="10">
                  <c:v>1.0316511869403</c:v>
                </c:pt>
                <c:pt idx="11">
                  <c:v>1.0583460194383401</c:v>
                </c:pt>
                <c:pt idx="12">
                  <c:v>0.164931671837588</c:v>
                </c:pt>
                <c:pt idx="13">
                  <c:v>0.23891187701375599</c:v>
                </c:pt>
                <c:pt idx="14">
                  <c:v>0.36218837973821899</c:v>
                </c:pt>
                <c:pt idx="15">
                  <c:v>0.51959960969175301</c:v>
                </c:pt>
                <c:pt idx="16">
                  <c:v>0.68513404658198296</c:v>
                </c:pt>
                <c:pt idx="17">
                  <c:v>0.84298690156395295</c:v>
                </c:pt>
                <c:pt idx="18">
                  <c:v>0.95648640363360604</c:v>
                </c:pt>
                <c:pt idx="19">
                  <c:v>0.20821767264357099</c:v>
                </c:pt>
                <c:pt idx="20">
                  <c:v>0.57647430825048096</c:v>
                </c:pt>
                <c:pt idx="21">
                  <c:v>0.77951700803357604</c:v>
                </c:pt>
                <c:pt idx="22">
                  <c:v>0.97780708590128096</c:v>
                </c:pt>
                <c:pt idx="23">
                  <c:v>1.04971817454775</c:v>
                </c:pt>
                <c:pt idx="24">
                  <c:v>1.0720241052230099</c:v>
                </c:pt>
                <c:pt idx="25">
                  <c:v>1.0832159432727599</c:v>
                </c:pt>
                <c:pt idx="26">
                  <c:v>1.09926280267114</c:v>
                </c:pt>
                <c:pt idx="27">
                  <c:v>0.214765032450453</c:v>
                </c:pt>
                <c:pt idx="28">
                  <c:v>0.63539691220514005</c:v>
                </c:pt>
                <c:pt idx="29">
                  <c:v>0.82369397025790203</c:v>
                </c:pt>
                <c:pt idx="30">
                  <c:v>0.97868554092728899</c:v>
                </c:pt>
                <c:pt idx="31">
                  <c:v>1.0476263909198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21-704E-924C-3979051426D0}"/>
            </c:ext>
          </c:extLst>
        </c:ser>
        <c:ser>
          <c:idx val="0"/>
          <c:order val="0"/>
          <c:spPr>
            <a:ln w="47625">
              <a:noFill/>
            </a:ln>
          </c:spPr>
          <c:marker>
            <c:symbol val="none"/>
          </c:marker>
          <c:xVal>
            <c:numRef>
              <c:f>DEP!$AH$2:$AH$21</c:f>
              <c:numCache>
                <c:formatCode>0.00E+00</c:formatCode>
                <c:ptCount val="20"/>
                <c:pt idx="0">
                  <c:v>6.3926187136509063E-2</c:v>
                </c:pt>
                <c:pt idx="1">
                  <c:v>0.20200675135136861</c:v>
                </c:pt>
                <c:pt idx="2">
                  <c:v>0.63926187136509061</c:v>
                </c:pt>
                <c:pt idx="3">
                  <c:v>2.0200675135136863</c:v>
                </c:pt>
                <c:pt idx="4">
                  <c:v>6.3926187136509052</c:v>
                </c:pt>
                <c:pt idx="5">
                  <c:v>12.78523742730181</c:v>
                </c:pt>
                <c:pt idx="6">
                  <c:v>4.9353994727687527E-2</c:v>
                </c:pt>
                <c:pt idx="7">
                  <c:v>0.15595862333949256</c:v>
                </c:pt>
                <c:pt idx="8">
                  <c:v>0.49353994727687522</c:v>
                </c:pt>
                <c:pt idx="9">
                  <c:v>1.5595862333949257</c:v>
                </c:pt>
                <c:pt idx="10">
                  <c:v>4.9353994727687525</c:v>
                </c:pt>
                <c:pt idx="11">
                  <c:v>9.8707989455375049</c:v>
                </c:pt>
                <c:pt idx="12">
                  <c:v>14.806198418306257</c:v>
                </c:pt>
                <c:pt idx="13">
                  <c:v>24.676997363843768</c:v>
                </c:pt>
                <c:pt idx="14">
                  <c:v>3.0101682129171485</c:v>
                </c:pt>
                <c:pt idx="15">
                  <c:v>4.2142354980840091</c:v>
                </c:pt>
                <c:pt idx="16">
                  <c:v>6.0203364258342971</c:v>
                </c:pt>
                <c:pt idx="17">
                  <c:v>9.0305046387514469</c:v>
                </c:pt>
                <c:pt idx="18">
                  <c:v>12.040672851668594</c:v>
                </c:pt>
              </c:numCache>
            </c:numRef>
          </c:xVal>
          <c:yVal>
            <c:numRef>
              <c:f>DEP!$AK$2:$AK$23</c:f>
              <c:numCache>
                <c:formatCode>General</c:formatCode>
                <c:ptCount val="22"/>
                <c:pt idx="0">
                  <c:v>1.1200000000000001</c:v>
                </c:pt>
                <c:pt idx="1">
                  <c:v>1.819</c:v>
                </c:pt>
                <c:pt idx="2">
                  <c:v>2.7839999999999998</c:v>
                </c:pt>
                <c:pt idx="3">
                  <c:v>6.7530000000000001</c:v>
                </c:pt>
                <c:pt idx="4">
                  <c:v>13.227</c:v>
                </c:pt>
                <c:pt idx="5">
                  <c:v>52.497999999999998</c:v>
                </c:pt>
                <c:pt idx="6">
                  <c:v>0.81</c:v>
                </c:pt>
                <c:pt idx="7">
                  <c:v>1.1100000000000001</c:v>
                </c:pt>
                <c:pt idx="8">
                  <c:v>2.3029999999999999</c:v>
                </c:pt>
                <c:pt idx="9">
                  <c:v>4.1020000000000003</c:v>
                </c:pt>
                <c:pt idx="10">
                  <c:v>9.75</c:v>
                </c:pt>
                <c:pt idx="11">
                  <c:v>12.58</c:v>
                </c:pt>
                <c:pt idx="12">
                  <c:v>19.79</c:v>
                </c:pt>
                <c:pt idx="13">
                  <c:v>95.07</c:v>
                </c:pt>
                <c:pt idx="14">
                  <c:v>7.0350000000000001</c:v>
                </c:pt>
                <c:pt idx="15">
                  <c:v>11.042</c:v>
                </c:pt>
                <c:pt idx="16">
                  <c:v>15.006</c:v>
                </c:pt>
                <c:pt idx="17">
                  <c:v>22.382000000000001</c:v>
                </c:pt>
                <c:pt idx="18">
                  <c:v>40.863999999999997</c:v>
                </c:pt>
                <c:pt idx="2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21-704E-924C-3979051426D0}"/>
            </c:ext>
          </c:extLst>
        </c:ser>
        <c:ser>
          <c:idx val="1"/>
          <c:order val="1"/>
          <c:spPr>
            <a:ln w="47625">
              <a:noFill/>
            </a:ln>
          </c:spPr>
          <c:marker>
            <c:spPr>
              <a:solidFill>
                <a:schemeClr val="bg1"/>
              </a:solidFill>
            </c:spPr>
          </c:marke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Boger!$AN$2:$AN$33</c:f>
              <c:numCache>
                <c:formatCode>General</c:formatCode>
                <c:ptCount val="32"/>
                <c:pt idx="0">
                  <c:v>0.63667101288292904</c:v>
                </c:pt>
                <c:pt idx="1">
                  <c:v>0.78331831635205196</c:v>
                </c:pt>
                <c:pt idx="2">
                  <c:v>1.93139748211354</c:v>
                </c:pt>
                <c:pt idx="3">
                  <c:v>3.5302052704955602</c:v>
                </c:pt>
                <c:pt idx="4">
                  <c:v>5.14644662302433</c:v>
                </c:pt>
                <c:pt idx="5">
                  <c:v>7.14371495421398</c:v>
                </c:pt>
                <c:pt idx="6">
                  <c:v>0.52428479977790399</c:v>
                </c:pt>
                <c:pt idx="7">
                  <c:v>0.64208628537408596</c:v>
                </c:pt>
                <c:pt idx="8">
                  <c:v>1.5895386940346701</c:v>
                </c:pt>
                <c:pt idx="9">
                  <c:v>2.8697106020554299</c:v>
                </c:pt>
                <c:pt idx="10">
                  <c:v>4.15235493230547</c:v>
                </c:pt>
                <c:pt idx="11">
                  <c:v>5.7754003765356501</c:v>
                </c:pt>
                <c:pt idx="12">
                  <c:v>0.18047346061740499</c:v>
                </c:pt>
                <c:pt idx="13">
                  <c:v>0.28687013616971402</c:v>
                </c:pt>
                <c:pt idx="14">
                  <c:v>0.49445707362089297</c:v>
                </c:pt>
                <c:pt idx="15">
                  <c:v>0.80177626110511802</c:v>
                </c:pt>
                <c:pt idx="16">
                  <c:v>1.20666614136915</c:v>
                </c:pt>
                <c:pt idx="17">
                  <c:v>1.68793673414753</c:v>
                </c:pt>
                <c:pt idx="18">
                  <c:v>2.1800590532492201</c:v>
                </c:pt>
                <c:pt idx="19">
                  <c:v>0.20072674656273601</c:v>
                </c:pt>
                <c:pt idx="20">
                  <c:v>0.78702326375895504</c:v>
                </c:pt>
                <c:pt idx="21">
                  <c:v>1.2678396432666801</c:v>
                </c:pt>
                <c:pt idx="22">
                  <c:v>1.98231384446381</c:v>
                </c:pt>
                <c:pt idx="23">
                  <c:v>2.5047228181454</c:v>
                </c:pt>
                <c:pt idx="24">
                  <c:v>2.8253613021106401</c:v>
                </c:pt>
                <c:pt idx="25">
                  <c:v>3.0732428970814998</c:v>
                </c:pt>
                <c:pt idx="26">
                  <c:v>3.5488398570392401</c:v>
                </c:pt>
                <c:pt idx="27">
                  <c:v>0.40786857663000697</c:v>
                </c:pt>
                <c:pt idx="28">
                  <c:v>1.6640288535843499</c:v>
                </c:pt>
                <c:pt idx="29">
                  <c:v>2.58004232746877</c:v>
                </c:pt>
                <c:pt idx="30">
                  <c:v>3.8999583855528601</c:v>
                </c:pt>
                <c:pt idx="31">
                  <c:v>5.4876149485629302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21-704E-924C-3979051426D0}"/>
            </c:ext>
          </c:extLst>
        </c:ser>
        <c:ser>
          <c:idx val="2"/>
          <c:order val="2"/>
          <c:spPr>
            <a:ln w="47625">
              <a:noFill/>
            </a:ln>
          </c:spPr>
          <c:xVal>
            <c:numRef>
              <c:f>Boger!$AH$2:$AH$7</c:f>
              <c:numCache>
                <c:formatCode>0.00E+00</c:formatCode>
                <c:ptCount val="6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</c:numCache>
            </c:numRef>
          </c:xVal>
          <c:yVal>
            <c:numRef>
              <c:f>Boger!$AK$2:$AK$7</c:f>
              <c:numCache>
                <c:formatCode>General</c:formatCode>
                <c:ptCount val="6"/>
                <c:pt idx="0">
                  <c:v>0.32400000000000001</c:v>
                </c:pt>
                <c:pt idx="1">
                  <c:v>0.39</c:v>
                </c:pt>
                <c:pt idx="2">
                  <c:v>0.80500000000000005</c:v>
                </c:pt>
                <c:pt idx="3">
                  <c:v>1.875</c:v>
                </c:pt>
                <c:pt idx="4">
                  <c:v>5.87</c:v>
                </c:pt>
                <c:pt idx="5">
                  <c:v>18.178000000000001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21-704E-924C-3979051426D0}"/>
            </c:ext>
          </c:extLst>
        </c:ser>
        <c:ser>
          <c:idx val="3"/>
          <c:order val="3"/>
          <c:spPr>
            <a:ln w="47625">
              <a:noFill/>
            </a:ln>
          </c:spPr>
          <c:marker>
            <c:symbol val="square"/>
            <c:size val="9"/>
            <c:spPr>
              <a:noFill/>
            </c:spPr>
          </c:marke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Boger!$AP$2:$AP$33</c:f>
              <c:numCache>
                <c:formatCode>General</c:formatCode>
                <c:ptCount val="32"/>
                <c:pt idx="0">
                  <c:v>0.28038081212027099</c:v>
                </c:pt>
                <c:pt idx="1">
                  <c:v>0.330886253486251</c:v>
                </c:pt>
                <c:pt idx="2">
                  <c:v>0.66673378548898499</c:v>
                </c:pt>
                <c:pt idx="3">
                  <c:v>0.92478651325347305</c:v>
                </c:pt>
                <c:pt idx="4">
                  <c:v>1.0258806572285299</c:v>
                </c:pt>
                <c:pt idx="5">
                  <c:v>1.05060092035018</c:v>
                </c:pt>
                <c:pt idx="6">
                  <c:v>0.28034764649121502</c:v>
                </c:pt>
                <c:pt idx="7">
                  <c:v>0.33834158287259303</c:v>
                </c:pt>
                <c:pt idx="8">
                  <c:v>0.66506700887682002</c:v>
                </c:pt>
                <c:pt idx="9">
                  <c:v>0.92908890628315399</c:v>
                </c:pt>
                <c:pt idx="10">
                  <c:v>1.0316511869403</c:v>
                </c:pt>
                <c:pt idx="11">
                  <c:v>1.0583460194383401</c:v>
                </c:pt>
                <c:pt idx="12">
                  <c:v>0.164931671837588</c:v>
                </c:pt>
                <c:pt idx="13">
                  <c:v>0.23891187701375599</c:v>
                </c:pt>
                <c:pt idx="14">
                  <c:v>0.36218837973821899</c:v>
                </c:pt>
                <c:pt idx="15">
                  <c:v>0.51959960969175301</c:v>
                </c:pt>
                <c:pt idx="16">
                  <c:v>0.68513404658198296</c:v>
                </c:pt>
                <c:pt idx="17">
                  <c:v>0.84298690156395295</c:v>
                </c:pt>
                <c:pt idx="18">
                  <c:v>0.95648640363360604</c:v>
                </c:pt>
                <c:pt idx="19">
                  <c:v>0.20821767264357099</c:v>
                </c:pt>
                <c:pt idx="20">
                  <c:v>0.57647430825048096</c:v>
                </c:pt>
                <c:pt idx="21">
                  <c:v>0.77951700803357604</c:v>
                </c:pt>
                <c:pt idx="22">
                  <c:v>0.97780708590128096</c:v>
                </c:pt>
                <c:pt idx="23">
                  <c:v>1.04971817454775</c:v>
                </c:pt>
                <c:pt idx="24">
                  <c:v>1.0720241052230099</c:v>
                </c:pt>
                <c:pt idx="25">
                  <c:v>1.0832159432727599</c:v>
                </c:pt>
                <c:pt idx="26">
                  <c:v>1.09926280267114</c:v>
                </c:pt>
                <c:pt idx="27">
                  <c:v>0.214765032450453</c:v>
                </c:pt>
                <c:pt idx="28">
                  <c:v>0.63539691220514005</c:v>
                </c:pt>
                <c:pt idx="29">
                  <c:v>0.82369397025790203</c:v>
                </c:pt>
                <c:pt idx="30">
                  <c:v>0.97868554092728899</c:v>
                </c:pt>
                <c:pt idx="31">
                  <c:v>1.0476263909198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21-704E-924C-397905142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101400"/>
        <c:axId val="2079106904"/>
      </c:scatterChart>
      <c:valAx>
        <c:axId val="2079101400"/>
        <c:scaling>
          <c:logBase val="10"/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079106904"/>
        <c:crosses val="autoZero"/>
        <c:crossBetween val="midCat"/>
      </c:valAx>
      <c:valAx>
        <c:axId val="207910690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1014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2"/>
          <c:spPr>
            <a:ln w="47625">
              <a:noFill/>
            </a:ln>
          </c:spPr>
          <c:marker>
            <c:symbol val="none"/>
          </c:marker>
          <c:xVal>
            <c:numRef>
              <c:f>DEP!$AH$2:$AH$21</c:f>
              <c:numCache>
                <c:formatCode>0.00E+00</c:formatCode>
                <c:ptCount val="20"/>
                <c:pt idx="0">
                  <c:v>6.3926187136509063E-2</c:v>
                </c:pt>
                <c:pt idx="1">
                  <c:v>0.20200675135136861</c:v>
                </c:pt>
                <c:pt idx="2">
                  <c:v>0.63926187136509061</c:v>
                </c:pt>
                <c:pt idx="3">
                  <c:v>2.0200675135136863</c:v>
                </c:pt>
                <c:pt idx="4">
                  <c:v>6.3926187136509052</c:v>
                </c:pt>
                <c:pt idx="5">
                  <c:v>12.78523742730181</c:v>
                </c:pt>
                <c:pt idx="6">
                  <c:v>4.9353994727687527E-2</c:v>
                </c:pt>
                <c:pt idx="7">
                  <c:v>0.15595862333949256</c:v>
                </c:pt>
                <c:pt idx="8">
                  <c:v>0.49353994727687522</c:v>
                </c:pt>
                <c:pt idx="9">
                  <c:v>1.5595862333949257</c:v>
                </c:pt>
                <c:pt idx="10">
                  <c:v>4.9353994727687525</c:v>
                </c:pt>
                <c:pt idx="11">
                  <c:v>9.8707989455375049</c:v>
                </c:pt>
                <c:pt idx="12">
                  <c:v>14.806198418306257</c:v>
                </c:pt>
                <c:pt idx="13">
                  <c:v>24.676997363843768</c:v>
                </c:pt>
                <c:pt idx="14">
                  <c:v>3.0101682129171485</c:v>
                </c:pt>
                <c:pt idx="15">
                  <c:v>4.2142354980840091</c:v>
                </c:pt>
                <c:pt idx="16">
                  <c:v>6.0203364258342971</c:v>
                </c:pt>
                <c:pt idx="17">
                  <c:v>9.0305046387514469</c:v>
                </c:pt>
                <c:pt idx="18">
                  <c:v>12.040672851668594</c:v>
                </c:pt>
              </c:numCache>
            </c:numRef>
          </c:xVal>
          <c:yVal>
            <c:numRef>
              <c:f>DEP!$AK$2:$AK$23</c:f>
              <c:numCache>
                <c:formatCode>General</c:formatCode>
                <c:ptCount val="22"/>
                <c:pt idx="0">
                  <c:v>1.1200000000000001</c:v>
                </c:pt>
                <c:pt idx="1">
                  <c:v>1.819</c:v>
                </c:pt>
                <c:pt idx="2">
                  <c:v>2.7839999999999998</c:v>
                </c:pt>
                <c:pt idx="3">
                  <c:v>6.7530000000000001</c:v>
                </c:pt>
                <c:pt idx="4">
                  <c:v>13.227</c:v>
                </c:pt>
                <c:pt idx="5">
                  <c:v>52.497999999999998</c:v>
                </c:pt>
                <c:pt idx="6">
                  <c:v>0.81</c:v>
                </c:pt>
                <c:pt idx="7">
                  <c:v>1.1100000000000001</c:v>
                </c:pt>
                <c:pt idx="8">
                  <c:v>2.3029999999999999</c:v>
                </c:pt>
                <c:pt idx="9">
                  <c:v>4.1020000000000003</c:v>
                </c:pt>
                <c:pt idx="10">
                  <c:v>9.75</c:v>
                </c:pt>
                <c:pt idx="11">
                  <c:v>12.58</c:v>
                </c:pt>
                <c:pt idx="12">
                  <c:v>19.79</c:v>
                </c:pt>
                <c:pt idx="13">
                  <c:v>95.07</c:v>
                </c:pt>
                <c:pt idx="14">
                  <c:v>7.0350000000000001</c:v>
                </c:pt>
                <c:pt idx="15">
                  <c:v>11.042</c:v>
                </c:pt>
                <c:pt idx="16">
                  <c:v>15.006</c:v>
                </c:pt>
                <c:pt idx="17">
                  <c:v>22.382000000000001</c:v>
                </c:pt>
                <c:pt idx="18">
                  <c:v>40.863999999999997</c:v>
                </c:pt>
                <c:pt idx="2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6-8F4C-9D8B-85837D3CF1D8}"/>
            </c:ext>
          </c:extLst>
        </c:ser>
        <c:ser>
          <c:idx val="5"/>
          <c:order val="3"/>
          <c:spPr>
            <a:ln w="47625">
              <a:noFill/>
            </a:ln>
          </c:spPr>
          <c:marker>
            <c:symbol val="none"/>
          </c:marke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Boger!$AN$2:$AN$33</c:f>
              <c:numCache>
                <c:formatCode>General</c:formatCode>
                <c:ptCount val="32"/>
                <c:pt idx="0">
                  <c:v>0.63667101288292904</c:v>
                </c:pt>
                <c:pt idx="1">
                  <c:v>0.78331831635205196</c:v>
                </c:pt>
                <c:pt idx="2">
                  <c:v>1.93139748211354</c:v>
                </c:pt>
                <c:pt idx="3">
                  <c:v>3.5302052704955602</c:v>
                </c:pt>
                <c:pt idx="4">
                  <c:v>5.14644662302433</c:v>
                </c:pt>
                <c:pt idx="5">
                  <c:v>7.14371495421398</c:v>
                </c:pt>
                <c:pt idx="6">
                  <c:v>0.52428479977790399</c:v>
                </c:pt>
                <c:pt idx="7">
                  <c:v>0.64208628537408596</c:v>
                </c:pt>
                <c:pt idx="8">
                  <c:v>1.5895386940346701</c:v>
                </c:pt>
                <c:pt idx="9">
                  <c:v>2.8697106020554299</c:v>
                </c:pt>
                <c:pt idx="10">
                  <c:v>4.15235493230547</c:v>
                </c:pt>
                <c:pt idx="11">
                  <c:v>5.7754003765356501</c:v>
                </c:pt>
                <c:pt idx="12">
                  <c:v>0.18047346061740499</c:v>
                </c:pt>
                <c:pt idx="13">
                  <c:v>0.28687013616971402</c:v>
                </c:pt>
                <c:pt idx="14">
                  <c:v>0.49445707362089297</c:v>
                </c:pt>
                <c:pt idx="15">
                  <c:v>0.80177626110511802</c:v>
                </c:pt>
                <c:pt idx="16">
                  <c:v>1.20666614136915</c:v>
                </c:pt>
                <c:pt idx="17">
                  <c:v>1.68793673414753</c:v>
                </c:pt>
                <c:pt idx="18">
                  <c:v>2.1800590532492201</c:v>
                </c:pt>
                <c:pt idx="19">
                  <c:v>0.20072674656273601</c:v>
                </c:pt>
                <c:pt idx="20">
                  <c:v>0.78702326375895504</c:v>
                </c:pt>
                <c:pt idx="21">
                  <c:v>1.2678396432666801</c:v>
                </c:pt>
                <c:pt idx="22">
                  <c:v>1.98231384446381</c:v>
                </c:pt>
                <c:pt idx="23">
                  <c:v>2.5047228181454</c:v>
                </c:pt>
                <c:pt idx="24">
                  <c:v>2.8253613021106401</c:v>
                </c:pt>
                <c:pt idx="25">
                  <c:v>3.0732428970814998</c:v>
                </c:pt>
                <c:pt idx="26">
                  <c:v>3.5488398570392401</c:v>
                </c:pt>
                <c:pt idx="27">
                  <c:v>0.40786857663000697</c:v>
                </c:pt>
                <c:pt idx="28">
                  <c:v>1.6640288535843499</c:v>
                </c:pt>
                <c:pt idx="29">
                  <c:v>2.58004232746877</c:v>
                </c:pt>
                <c:pt idx="30">
                  <c:v>3.8999583855528601</c:v>
                </c:pt>
                <c:pt idx="31">
                  <c:v>5.4876149485629302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6-8F4C-9D8B-85837D3CF1D8}"/>
            </c:ext>
          </c:extLst>
        </c:ser>
        <c:ser>
          <c:idx val="6"/>
          <c:order val="4"/>
          <c:spPr>
            <a:ln w="47625">
              <a:noFill/>
            </a:ln>
          </c:spPr>
          <c:marker>
            <c:symbol val="none"/>
          </c:marker>
          <c:xVal>
            <c:numRef>
              <c:f>Boger!$AH$2:$AH$7</c:f>
              <c:numCache>
                <c:formatCode>0.00E+00</c:formatCode>
                <c:ptCount val="6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</c:numCache>
            </c:numRef>
          </c:xVal>
          <c:yVal>
            <c:numRef>
              <c:f>Boger!$AK$2:$AK$7</c:f>
              <c:numCache>
                <c:formatCode>General</c:formatCode>
                <c:ptCount val="6"/>
                <c:pt idx="0">
                  <c:v>0.32400000000000001</c:v>
                </c:pt>
                <c:pt idx="1">
                  <c:v>0.39</c:v>
                </c:pt>
                <c:pt idx="2">
                  <c:v>0.80500000000000005</c:v>
                </c:pt>
                <c:pt idx="3">
                  <c:v>1.875</c:v>
                </c:pt>
                <c:pt idx="4">
                  <c:v>5.87</c:v>
                </c:pt>
                <c:pt idx="5">
                  <c:v>18.178000000000001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F6-8F4C-9D8B-85837D3CF1D8}"/>
            </c:ext>
          </c:extLst>
        </c:ser>
        <c:ser>
          <c:idx val="7"/>
          <c:order val="5"/>
          <c:spPr>
            <a:ln w="47625">
              <a:noFill/>
            </a:ln>
          </c:spPr>
          <c:marker>
            <c:symbol val="none"/>
          </c:marke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Boger!$AP$2:$AP$33</c:f>
              <c:numCache>
                <c:formatCode>General</c:formatCode>
                <c:ptCount val="32"/>
                <c:pt idx="0">
                  <c:v>0.28038081212027099</c:v>
                </c:pt>
                <c:pt idx="1">
                  <c:v>0.330886253486251</c:v>
                </c:pt>
                <c:pt idx="2">
                  <c:v>0.66673378548898499</c:v>
                </c:pt>
                <c:pt idx="3">
                  <c:v>0.92478651325347305</c:v>
                </c:pt>
                <c:pt idx="4">
                  <c:v>1.0258806572285299</c:v>
                </c:pt>
                <c:pt idx="5">
                  <c:v>1.05060092035018</c:v>
                </c:pt>
                <c:pt idx="6">
                  <c:v>0.28034764649121502</c:v>
                </c:pt>
                <c:pt idx="7">
                  <c:v>0.33834158287259303</c:v>
                </c:pt>
                <c:pt idx="8">
                  <c:v>0.66506700887682002</c:v>
                </c:pt>
                <c:pt idx="9">
                  <c:v>0.92908890628315399</c:v>
                </c:pt>
                <c:pt idx="10">
                  <c:v>1.0316511869403</c:v>
                </c:pt>
                <c:pt idx="11">
                  <c:v>1.0583460194383401</c:v>
                </c:pt>
                <c:pt idx="12">
                  <c:v>0.164931671837588</c:v>
                </c:pt>
                <c:pt idx="13">
                  <c:v>0.23891187701375599</c:v>
                </c:pt>
                <c:pt idx="14">
                  <c:v>0.36218837973821899</c:v>
                </c:pt>
                <c:pt idx="15">
                  <c:v>0.51959960969175301</c:v>
                </c:pt>
                <c:pt idx="16">
                  <c:v>0.68513404658198296</c:v>
                </c:pt>
                <c:pt idx="17">
                  <c:v>0.84298690156395295</c:v>
                </c:pt>
                <c:pt idx="18">
                  <c:v>0.95648640363360604</c:v>
                </c:pt>
                <c:pt idx="19">
                  <c:v>0.20821767264357099</c:v>
                </c:pt>
                <c:pt idx="20">
                  <c:v>0.57647430825048096</c:v>
                </c:pt>
                <c:pt idx="21">
                  <c:v>0.77951700803357604</c:v>
                </c:pt>
                <c:pt idx="22">
                  <c:v>0.97780708590128096</c:v>
                </c:pt>
                <c:pt idx="23">
                  <c:v>1.04971817454775</c:v>
                </c:pt>
                <c:pt idx="24">
                  <c:v>1.0720241052230099</c:v>
                </c:pt>
                <c:pt idx="25">
                  <c:v>1.0832159432727599</c:v>
                </c:pt>
                <c:pt idx="26">
                  <c:v>1.09926280267114</c:v>
                </c:pt>
                <c:pt idx="27">
                  <c:v>0.214765032450453</c:v>
                </c:pt>
                <c:pt idx="28">
                  <c:v>0.63539691220514005</c:v>
                </c:pt>
                <c:pt idx="29">
                  <c:v>0.82369397025790203</c:v>
                </c:pt>
                <c:pt idx="30">
                  <c:v>0.97868554092728899</c:v>
                </c:pt>
                <c:pt idx="31">
                  <c:v>1.0476263909198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F6-8F4C-9D8B-85837D3CF1D8}"/>
            </c:ext>
          </c:extLst>
        </c:ser>
        <c:ser>
          <c:idx val="0"/>
          <c:order val="0"/>
          <c:spPr>
            <a:ln w="47625">
              <a:noFill/>
            </a:ln>
          </c:spPr>
          <c:marker>
            <c:symbol val="none"/>
          </c:marker>
          <c:xVal>
            <c:numRef>
              <c:f>DEP!$AH$2:$AH$21</c:f>
              <c:numCache>
                <c:formatCode>0.00E+00</c:formatCode>
                <c:ptCount val="20"/>
                <c:pt idx="0">
                  <c:v>6.3926187136509063E-2</c:v>
                </c:pt>
                <c:pt idx="1">
                  <c:v>0.20200675135136861</c:v>
                </c:pt>
                <c:pt idx="2">
                  <c:v>0.63926187136509061</c:v>
                </c:pt>
                <c:pt idx="3">
                  <c:v>2.0200675135136863</c:v>
                </c:pt>
                <c:pt idx="4">
                  <c:v>6.3926187136509052</c:v>
                </c:pt>
                <c:pt idx="5">
                  <c:v>12.78523742730181</c:v>
                </c:pt>
                <c:pt idx="6">
                  <c:v>4.9353994727687527E-2</c:v>
                </c:pt>
                <c:pt idx="7">
                  <c:v>0.15595862333949256</c:v>
                </c:pt>
                <c:pt idx="8">
                  <c:v>0.49353994727687522</c:v>
                </c:pt>
                <c:pt idx="9">
                  <c:v>1.5595862333949257</c:v>
                </c:pt>
                <c:pt idx="10">
                  <c:v>4.9353994727687525</c:v>
                </c:pt>
                <c:pt idx="11">
                  <c:v>9.8707989455375049</c:v>
                </c:pt>
                <c:pt idx="12">
                  <c:v>14.806198418306257</c:v>
                </c:pt>
                <c:pt idx="13">
                  <c:v>24.676997363843768</c:v>
                </c:pt>
                <c:pt idx="14">
                  <c:v>3.0101682129171485</c:v>
                </c:pt>
                <c:pt idx="15">
                  <c:v>4.2142354980840091</c:v>
                </c:pt>
                <c:pt idx="16">
                  <c:v>6.0203364258342971</c:v>
                </c:pt>
                <c:pt idx="17">
                  <c:v>9.0305046387514469</c:v>
                </c:pt>
                <c:pt idx="18">
                  <c:v>12.040672851668594</c:v>
                </c:pt>
              </c:numCache>
            </c:numRef>
          </c:xVal>
          <c:yVal>
            <c:numRef>
              <c:f>DEP!$AK$2:$AK$23</c:f>
              <c:numCache>
                <c:formatCode>General</c:formatCode>
                <c:ptCount val="22"/>
                <c:pt idx="0">
                  <c:v>1.1200000000000001</c:v>
                </c:pt>
                <c:pt idx="1">
                  <c:v>1.819</c:v>
                </c:pt>
                <c:pt idx="2">
                  <c:v>2.7839999999999998</c:v>
                </c:pt>
                <c:pt idx="3">
                  <c:v>6.7530000000000001</c:v>
                </c:pt>
                <c:pt idx="4">
                  <c:v>13.227</c:v>
                </c:pt>
                <c:pt idx="5">
                  <c:v>52.497999999999998</c:v>
                </c:pt>
                <c:pt idx="6">
                  <c:v>0.81</c:v>
                </c:pt>
                <c:pt idx="7">
                  <c:v>1.1100000000000001</c:v>
                </c:pt>
                <c:pt idx="8">
                  <c:v>2.3029999999999999</c:v>
                </c:pt>
                <c:pt idx="9">
                  <c:v>4.1020000000000003</c:v>
                </c:pt>
                <c:pt idx="10">
                  <c:v>9.75</c:v>
                </c:pt>
                <c:pt idx="11">
                  <c:v>12.58</c:v>
                </c:pt>
                <c:pt idx="12">
                  <c:v>19.79</c:v>
                </c:pt>
                <c:pt idx="13">
                  <c:v>95.07</c:v>
                </c:pt>
                <c:pt idx="14">
                  <c:v>7.0350000000000001</c:v>
                </c:pt>
                <c:pt idx="15">
                  <c:v>11.042</c:v>
                </c:pt>
                <c:pt idx="16">
                  <c:v>15.006</c:v>
                </c:pt>
                <c:pt idx="17">
                  <c:v>22.382000000000001</c:v>
                </c:pt>
                <c:pt idx="18">
                  <c:v>40.863999999999997</c:v>
                </c:pt>
                <c:pt idx="2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F6-8F4C-9D8B-85837D3CF1D8}"/>
            </c:ext>
          </c:extLst>
        </c:ser>
        <c:ser>
          <c:idx val="2"/>
          <c:order val="1"/>
          <c:spPr>
            <a:ln w="47625">
              <a:noFill/>
            </a:ln>
          </c:spPr>
          <c:xVal>
            <c:numRef>
              <c:f>Boger!$AH$2:$AH$33</c:f>
              <c:numCache>
                <c:formatCode>0.00E+00</c:formatCode>
                <c:ptCount val="32"/>
                <c:pt idx="0">
                  <c:v>1.6524571149293961E-2</c:v>
                </c:pt>
                <c:pt idx="1">
                  <c:v>2.0917178669992355E-2</c:v>
                </c:pt>
                <c:pt idx="2">
                  <c:v>6.6098284597175844E-2</c:v>
                </c:pt>
                <c:pt idx="3">
                  <c:v>0.20917178669992356</c:v>
                </c:pt>
                <c:pt idx="4">
                  <c:v>0.66098284597175827</c:v>
                </c:pt>
                <c:pt idx="5">
                  <c:v>2.0917178669992356</c:v>
                </c:pt>
                <c:pt idx="6">
                  <c:v>1.3340837107863322E-2</c:v>
                </c:pt>
                <c:pt idx="7">
                  <c:v>1.6887135579573824E-2</c:v>
                </c:pt>
                <c:pt idx="8">
                  <c:v>5.3363348431453288E-2</c:v>
                </c:pt>
                <c:pt idx="9">
                  <c:v>0.16887135579573828</c:v>
                </c:pt>
                <c:pt idx="10">
                  <c:v>0.53363348431453284</c:v>
                </c:pt>
                <c:pt idx="11">
                  <c:v>1.6887135579573824</c:v>
                </c:pt>
                <c:pt idx="12">
                  <c:v>5.0435501209085565E-3</c:v>
                </c:pt>
                <c:pt idx="13">
                  <c:v>8.596960433366857E-3</c:v>
                </c:pt>
                <c:pt idx="14">
                  <c:v>1.6047659475618131E-2</c:v>
                </c:pt>
                <c:pt idx="15">
                  <c:v>2.8656534777889531E-2</c:v>
                </c:pt>
                <c:pt idx="16">
                  <c:v>5.0435501209085555E-2</c:v>
                </c:pt>
                <c:pt idx="17">
                  <c:v>9.0554649898130904E-2</c:v>
                </c:pt>
                <c:pt idx="18">
                  <c:v>0.16506164032064369</c:v>
                </c:pt>
                <c:pt idx="19">
                  <c:v>8.882828541856751E-3</c:v>
                </c:pt>
                <c:pt idx="20">
                  <c:v>4.4414142709283774E-2</c:v>
                </c:pt>
                <c:pt idx="21">
                  <c:v>8.8828285418567549E-2</c:v>
                </c:pt>
                <c:pt idx="22">
                  <c:v>0.2220707135464188</c:v>
                </c:pt>
                <c:pt idx="23">
                  <c:v>0.4441414270928376</c:v>
                </c:pt>
                <c:pt idx="24">
                  <c:v>0.66621214063925649</c:v>
                </c:pt>
                <c:pt idx="25">
                  <c:v>0.88828285418567521</c:v>
                </c:pt>
                <c:pt idx="26">
                  <c:v>1.4701081236772924</c:v>
                </c:pt>
                <c:pt idx="27">
                  <c:v>1.7430982224993626E-2</c:v>
                </c:pt>
                <c:pt idx="28">
                  <c:v>8.7154911124968135E-2</c:v>
                </c:pt>
                <c:pt idx="29">
                  <c:v>0.17430982224993627</c:v>
                </c:pt>
                <c:pt idx="30">
                  <c:v>0.43577455562484063</c:v>
                </c:pt>
                <c:pt idx="31">
                  <c:v>1.3073236668745218</c:v>
                </c:pt>
              </c:numCache>
            </c:numRef>
          </c:xVal>
          <c:yVal>
            <c:numRef>
              <c:f>Boger!$AM$2:$AM$33</c:f>
              <c:numCache>
                <c:formatCode>0.00E+00</c:formatCode>
                <c:ptCount val="32"/>
                <c:pt idx="0">
                  <c:v>2.0701595986073089</c:v>
                </c:pt>
                <c:pt idx="1">
                  <c:v>1.7226062950419154</c:v>
                </c:pt>
                <c:pt idx="2">
                  <c:v>0.84854182169777115</c:v>
                </c:pt>
                <c:pt idx="3">
                  <c:v>0.38399576022713267</c:v>
                </c:pt>
                <c:pt idx="4">
                  <c:v>0.14483534377829876</c:v>
                </c:pt>
                <c:pt idx="5">
                  <c:v>7.9168468866535169E-2</c:v>
                </c:pt>
                <c:pt idx="6">
                  <c:v>1.378490922871733</c:v>
                </c:pt>
                <c:pt idx="7">
                  <c:v>1.2826408759287571</c:v>
                </c:pt>
                <c:pt idx="8">
                  <c:v>0.92753546112487317</c:v>
                </c:pt>
                <c:pt idx="9">
                  <c:v>0.55551793446473174</c:v>
                </c:pt>
                <c:pt idx="10">
                  <c:v>0.14257849793420652</c:v>
                </c:pt>
                <c:pt idx="12">
                  <c:v>1.8867366115890465</c:v>
                </c:pt>
                <c:pt idx="13">
                  <c:v>1.0632407540415145</c:v>
                </c:pt>
                <c:pt idx="14">
                  <c:v>0.95529065965181958</c:v>
                </c:pt>
                <c:pt idx="15">
                  <c:v>0.68053731599286127</c:v>
                </c:pt>
                <c:pt idx="16">
                  <c:v>0.6058444141532241</c:v>
                </c:pt>
                <c:pt idx="17">
                  <c:v>0.36740379949002139</c:v>
                </c:pt>
                <c:pt idx="18">
                  <c:v>0.34845197653360604</c:v>
                </c:pt>
                <c:pt idx="19">
                  <c:v>1.2205269526907323</c:v>
                </c:pt>
                <c:pt idx="20">
                  <c:v>0.68105411205894129</c:v>
                </c:pt>
                <c:pt idx="21">
                  <c:v>0.535623583652167</c:v>
                </c:pt>
                <c:pt idx="22">
                  <c:v>0.26803138633343582</c:v>
                </c:pt>
                <c:pt idx="23">
                  <c:v>0.15640518194471442</c:v>
                </c:pt>
                <c:pt idx="27">
                  <c:v>1.711620925333053</c:v>
                </c:pt>
                <c:pt idx="28">
                  <c:v>1.0078887649252102</c:v>
                </c:pt>
                <c:pt idx="29">
                  <c:v>0.47963367910055976</c:v>
                </c:pt>
                <c:pt idx="30">
                  <c:v>0.19399729804086924</c:v>
                </c:pt>
                <c:pt idx="31">
                  <c:v>0.12973934731760361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F6-8F4C-9D8B-85837D3CF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151608"/>
        <c:axId val="2079154760"/>
      </c:scatterChart>
      <c:valAx>
        <c:axId val="2079151608"/>
        <c:scaling>
          <c:logBase val="10"/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079154760"/>
        <c:crosses val="autoZero"/>
        <c:crossBetween val="midCat"/>
      </c:valAx>
      <c:valAx>
        <c:axId val="2079154760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151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2.331047328761324E-2"/>
                  <c:y val="9.4146137681342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Boger!$L$36:$L$40</c:f>
              <c:numCache>
                <c:formatCode>General</c:formatCode>
                <c:ptCount val="5"/>
                <c:pt idx="0">
                  <c:v>8300000</c:v>
                </c:pt>
                <c:pt idx="1">
                  <c:v>5700000</c:v>
                </c:pt>
                <c:pt idx="2">
                  <c:v>2800000</c:v>
                </c:pt>
                <c:pt idx="3">
                  <c:v>1800000</c:v>
                </c:pt>
                <c:pt idx="4">
                  <c:v>6000000</c:v>
                </c:pt>
              </c:numCache>
            </c:numRef>
          </c:xVal>
          <c:yVal>
            <c:numRef>
              <c:f>Boger!$M$36:$M$40</c:f>
              <c:numCache>
                <c:formatCode>General</c:formatCode>
                <c:ptCount val="5"/>
                <c:pt idx="0">
                  <c:v>150</c:v>
                </c:pt>
                <c:pt idx="1">
                  <c:v>121.1</c:v>
                </c:pt>
                <c:pt idx="2">
                  <c:v>82.2</c:v>
                </c:pt>
                <c:pt idx="3">
                  <c:v>63.7</c:v>
                </c:pt>
                <c:pt idx="4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3-304F-9379-D6E5B1CBA2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Boger!$N$36:$N$38</c:f>
              <c:numCache>
                <c:formatCode>0.00E+00</c:formatCode>
                <c:ptCount val="3"/>
                <c:pt idx="0">
                  <c:v>2000000</c:v>
                </c:pt>
                <c:pt idx="1">
                  <c:v>6500000</c:v>
                </c:pt>
                <c:pt idx="2">
                  <c:v>20000000</c:v>
                </c:pt>
              </c:numCache>
            </c:numRef>
          </c:xVal>
          <c:yVal>
            <c:numRef>
              <c:f>Boger!$O$36:$O$38</c:f>
              <c:numCache>
                <c:formatCode>General</c:formatCode>
                <c:ptCount val="3"/>
                <c:pt idx="0">
                  <c:v>120</c:v>
                </c:pt>
                <c:pt idx="1">
                  <c:v>250</c:v>
                </c:pt>
                <c:pt idx="2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53-304F-9379-D6E5B1CB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850608"/>
        <c:axId val="777141616"/>
      </c:scatterChart>
      <c:valAx>
        <c:axId val="8828506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41616"/>
        <c:crosses val="autoZero"/>
        <c:crossBetween val="midCat"/>
      </c:valAx>
      <c:valAx>
        <c:axId val="7771416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5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DEP!$AH$2:$AH$21</c:f>
              <c:numCache>
                <c:formatCode>0.00E+00</c:formatCode>
                <c:ptCount val="20"/>
                <c:pt idx="0">
                  <c:v>6.3926187136509063E-2</c:v>
                </c:pt>
                <c:pt idx="1">
                  <c:v>0.20200675135136861</c:v>
                </c:pt>
                <c:pt idx="2">
                  <c:v>0.63926187136509061</c:v>
                </c:pt>
                <c:pt idx="3">
                  <c:v>2.0200675135136863</c:v>
                </c:pt>
                <c:pt idx="4">
                  <c:v>6.3926187136509052</c:v>
                </c:pt>
                <c:pt idx="5">
                  <c:v>12.78523742730181</c:v>
                </c:pt>
                <c:pt idx="6">
                  <c:v>4.9353994727687527E-2</c:v>
                </c:pt>
                <c:pt idx="7">
                  <c:v>0.15595862333949256</c:v>
                </c:pt>
                <c:pt idx="8">
                  <c:v>0.49353994727687522</c:v>
                </c:pt>
                <c:pt idx="9">
                  <c:v>1.5595862333949257</c:v>
                </c:pt>
                <c:pt idx="10">
                  <c:v>4.9353994727687525</c:v>
                </c:pt>
                <c:pt idx="11">
                  <c:v>9.8707989455375049</c:v>
                </c:pt>
                <c:pt idx="12">
                  <c:v>14.806198418306257</c:v>
                </c:pt>
                <c:pt idx="13">
                  <c:v>24.676997363843768</c:v>
                </c:pt>
                <c:pt idx="14">
                  <c:v>3.0101682129171485</c:v>
                </c:pt>
                <c:pt idx="15">
                  <c:v>4.2142354980840091</c:v>
                </c:pt>
                <c:pt idx="16">
                  <c:v>6.0203364258342971</c:v>
                </c:pt>
                <c:pt idx="17">
                  <c:v>9.0305046387514469</c:v>
                </c:pt>
                <c:pt idx="18">
                  <c:v>12.040672851668594</c:v>
                </c:pt>
              </c:numCache>
            </c:numRef>
          </c:xVal>
          <c:yVal>
            <c:numRef>
              <c:f>DEP!$AK$2:$AK$21</c:f>
              <c:numCache>
                <c:formatCode>General</c:formatCode>
                <c:ptCount val="20"/>
                <c:pt idx="0">
                  <c:v>1.1200000000000001</c:v>
                </c:pt>
                <c:pt idx="1">
                  <c:v>1.819</c:v>
                </c:pt>
                <c:pt idx="2">
                  <c:v>2.7839999999999998</c:v>
                </c:pt>
                <c:pt idx="3">
                  <c:v>6.7530000000000001</c:v>
                </c:pt>
                <c:pt idx="4">
                  <c:v>13.227</c:v>
                </c:pt>
                <c:pt idx="5">
                  <c:v>52.497999999999998</c:v>
                </c:pt>
                <c:pt idx="6">
                  <c:v>0.81</c:v>
                </c:pt>
                <c:pt idx="7">
                  <c:v>1.1100000000000001</c:v>
                </c:pt>
                <c:pt idx="8">
                  <c:v>2.3029999999999999</c:v>
                </c:pt>
                <c:pt idx="9">
                  <c:v>4.1020000000000003</c:v>
                </c:pt>
                <c:pt idx="10">
                  <c:v>9.75</c:v>
                </c:pt>
                <c:pt idx="11">
                  <c:v>12.58</c:v>
                </c:pt>
                <c:pt idx="12">
                  <c:v>19.79</c:v>
                </c:pt>
                <c:pt idx="13">
                  <c:v>95.07</c:v>
                </c:pt>
                <c:pt idx="14">
                  <c:v>7.0350000000000001</c:v>
                </c:pt>
                <c:pt idx="15">
                  <c:v>11.042</c:v>
                </c:pt>
                <c:pt idx="16">
                  <c:v>15.006</c:v>
                </c:pt>
                <c:pt idx="17">
                  <c:v>22.382000000000001</c:v>
                </c:pt>
                <c:pt idx="18">
                  <c:v>40.863999999999997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72-A549-A5D3-25456E004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185736"/>
        <c:axId val="2079188856"/>
      </c:scatterChart>
      <c:valAx>
        <c:axId val="2079185736"/>
        <c:scaling>
          <c:logBase val="10"/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079188856"/>
        <c:crosses val="autoZero"/>
        <c:crossBetween val="midCat"/>
      </c:valAx>
      <c:valAx>
        <c:axId val="207918885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1857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exp"/>
            <c:intercept val="1"/>
            <c:dispRSqr val="0"/>
            <c:dispEq val="1"/>
            <c:trendlineLbl>
              <c:layout>
                <c:manualLayout>
                  <c:x val="0.338918635170604"/>
                  <c:y val="-4.7350174978127699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/>
                  </a:pPr>
                  <a:endParaRPr lang="en-US"/>
                </a:p>
              </c:txPr>
            </c:trendlineLbl>
          </c:trendline>
          <c:xVal>
            <c:numRef>
              <c:f>PEO!$A$31:$A$34</c:f>
              <c:numCache>
                <c:formatCode>General</c:formatCode>
                <c:ptCount val="4"/>
                <c:pt idx="0">
                  <c:v>0.63</c:v>
                </c:pt>
                <c:pt idx="1">
                  <c:v>0.31</c:v>
                </c:pt>
                <c:pt idx="2">
                  <c:v>0.13</c:v>
                </c:pt>
                <c:pt idx="3">
                  <c:v>0.06</c:v>
                </c:pt>
              </c:numCache>
            </c:numRef>
          </c:xVal>
          <c:yVal>
            <c:numRef>
              <c:f>PEO!$E$31:$E$34</c:f>
              <c:numCache>
                <c:formatCode>General</c:formatCode>
                <c:ptCount val="4"/>
                <c:pt idx="0">
                  <c:v>1.1820330969267141</c:v>
                </c:pt>
                <c:pt idx="1">
                  <c:v>1.098146877144818</c:v>
                </c:pt>
                <c:pt idx="2">
                  <c:v>1.309328968903436</c:v>
                </c:pt>
                <c:pt idx="3">
                  <c:v>1.0638297872340423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1F-9F4E-9D90-2AEC911FE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27976"/>
        <c:axId val="2079230872"/>
      </c:scatterChart>
      <c:valAx>
        <c:axId val="2079227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9230872"/>
        <c:crosses val="autoZero"/>
        <c:crossBetween val="midCat"/>
      </c:valAx>
      <c:valAx>
        <c:axId val="2079230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227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PEO!$X$2:$X$26</c:f>
              <c:numCache>
                <c:formatCode>0.00E+00</c:formatCode>
                <c:ptCount val="25"/>
                <c:pt idx="0">
                  <c:v>0.26247729335600539</c:v>
                </c:pt>
                <c:pt idx="1">
                  <c:v>0.2865069047195834</c:v>
                </c:pt>
                <c:pt idx="2">
                  <c:v>0.52125772342530641</c:v>
                </c:pt>
                <c:pt idx="3">
                  <c:v>0.69963137700878897</c:v>
                </c:pt>
                <c:pt idx="4">
                  <c:v>0.86136914580210233</c:v>
                </c:pt>
                <c:pt idx="5">
                  <c:v>0.86229336162377845</c:v>
                </c:pt>
                <c:pt idx="6">
                  <c:v>0.71996412508566277</c:v>
                </c:pt>
                <c:pt idx="7">
                  <c:v>1.1460276188783335E-2</c:v>
                </c:pt>
                <c:pt idx="8">
                  <c:v>2.8558268889790732E-2</c:v>
                </c:pt>
                <c:pt idx="9">
                  <c:v>2.8650690471958336E-2</c:v>
                </c:pt>
                <c:pt idx="10">
                  <c:v>5.6746851450911032E-2</c:v>
                </c:pt>
                <c:pt idx="11">
                  <c:v>0.11460276188783335</c:v>
                </c:pt>
                <c:pt idx="12">
                  <c:v>0.28835533636293553</c:v>
                </c:pt>
                <c:pt idx="13">
                  <c:v>0.56931694615246242</c:v>
                </c:pt>
                <c:pt idx="14">
                  <c:v>0.57116537779581456</c:v>
                </c:pt>
                <c:pt idx="15">
                  <c:v>1.8022208522683471E-2</c:v>
                </c:pt>
                <c:pt idx="16">
                  <c:v>4.4732045769122049E-2</c:v>
                </c:pt>
                <c:pt idx="17">
                  <c:v>8.7245973566221505E-2</c:v>
                </c:pt>
                <c:pt idx="18">
                  <c:v>9.0018621031249732E-2</c:v>
                </c:pt>
                <c:pt idx="19">
                  <c:v>0.17929786940515863</c:v>
                </c:pt>
                <c:pt idx="20">
                  <c:v>0.4482446735128966</c:v>
                </c:pt>
                <c:pt idx="21">
                  <c:v>3.2624818505165458E-2</c:v>
                </c:pt>
                <c:pt idx="22">
                  <c:v>8.1793100218332679E-2</c:v>
                </c:pt>
                <c:pt idx="23">
                  <c:v>0.16358620043666536</c:v>
                </c:pt>
                <c:pt idx="24">
                  <c:v>0.32439975340830246</c:v>
                </c:pt>
              </c:numCache>
            </c:numRef>
          </c:xVal>
          <c:yVal>
            <c:numRef>
              <c:f>PEO!$Z$2:$Z$26</c:f>
              <c:numCache>
                <c:formatCode>General</c:formatCode>
                <c:ptCount val="25"/>
                <c:pt idx="0">
                  <c:v>7.38</c:v>
                </c:pt>
                <c:pt idx="1">
                  <c:v>5.52</c:v>
                </c:pt>
                <c:pt idx="2">
                  <c:v>26.5</c:v>
                </c:pt>
                <c:pt idx="3">
                  <c:v>8.2799999999999994</c:v>
                </c:pt>
                <c:pt idx="4">
                  <c:v>21.4</c:v>
                </c:pt>
                <c:pt idx="5">
                  <c:v>10.7</c:v>
                </c:pt>
                <c:pt idx="6">
                  <c:v>11.6</c:v>
                </c:pt>
                <c:pt idx="7">
                  <c:v>1.07</c:v>
                </c:pt>
                <c:pt idx="8">
                  <c:v>1.49</c:v>
                </c:pt>
                <c:pt idx="9">
                  <c:v>1.69</c:v>
                </c:pt>
                <c:pt idx="10">
                  <c:v>3.05</c:v>
                </c:pt>
                <c:pt idx="11">
                  <c:v>6.21</c:v>
                </c:pt>
                <c:pt idx="12">
                  <c:v>8.41</c:v>
                </c:pt>
                <c:pt idx="13">
                  <c:v>13.9</c:v>
                </c:pt>
                <c:pt idx="14">
                  <c:v>12.9</c:v>
                </c:pt>
                <c:pt idx="15">
                  <c:v>1.35</c:v>
                </c:pt>
                <c:pt idx="16">
                  <c:v>3.14</c:v>
                </c:pt>
                <c:pt idx="17">
                  <c:v>4.6100000000000003</c:v>
                </c:pt>
                <c:pt idx="18">
                  <c:v>3.91</c:v>
                </c:pt>
                <c:pt idx="19">
                  <c:v>7.13</c:v>
                </c:pt>
                <c:pt idx="20">
                  <c:v>10.7</c:v>
                </c:pt>
                <c:pt idx="21">
                  <c:v>1.6</c:v>
                </c:pt>
                <c:pt idx="22">
                  <c:v>2.95</c:v>
                </c:pt>
                <c:pt idx="23">
                  <c:v>6.11</c:v>
                </c:pt>
                <c:pt idx="24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C-E643-A7F3-A833FFE41CC9}"/>
            </c:ext>
          </c:extLst>
        </c:ser>
        <c:ser>
          <c:idx val="1"/>
          <c:order val="1"/>
          <c:spPr>
            <a:ln w="47625">
              <a:noFill/>
            </a:ln>
          </c:spPr>
          <c:xVal>
            <c:numRef>
              <c:f>PEO!$X$2:$X$26</c:f>
              <c:numCache>
                <c:formatCode>0.00E+00</c:formatCode>
                <c:ptCount val="25"/>
                <c:pt idx="0">
                  <c:v>0.26247729335600539</c:v>
                </c:pt>
                <c:pt idx="1">
                  <c:v>0.2865069047195834</c:v>
                </c:pt>
                <c:pt idx="2">
                  <c:v>0.52125772342530641</c:v>
                </c:pt>
                <c:pt idx="3">
                  <c:v>0.69963137700878897</c:v>
                </c:pt>
                <c:pt idx="4">
                  <c:v>0.86136914580210233</c:v>
                </c:pt>
                <c:pt idx="5">
                  <c:v>0.86229336162377845</c:v>
                </c:pt>
                <c:pt idx="6">
                  <c:v>0.71996412508566277</c:v>
                </c:pt>
                <c:pt idx="7">
                  <c:v>1.1460276188783335E-2</c:v>
                </c:pt>
                <c:pt idx="8">
                  <c:v>2.8558268889790732E-2</c:v>
                </c:pt>
                <c:pt idx="9">
                  <c:v>2.8650690471958336E-2</c:v>
                </c:pt>
                <c:pt idx="10">
                  <c:v>5.6746851450911032E-2</c:v>
                </c:pt>
                <c:pt idx="11">
                  <c:v>0.11460276188783335</c:v>
                </c:pt>
                <c:pt idx="12">
                  <c:v>0.28835533636293553</c:v>
                </c:pt>
                <c:pt idx="13">
                  <c:v>0.56931694615246242</c:v>
                </c:pt>
                <c:pt idx="14">
                  <c:v>0.57116537779581456</c:v>
                </c:pt>
                <c:pt idx="15">
                  <c:v>1.8022208522683471E-2</c:v>
                </c:pt>
                <c:pt idx="16">
                  <c:v>4.4732045769122049E-2</c:v>
                </c:pt>
                <c:pt idx="17">
                  <c:v>8.7245973566221505E-2</c:v>
                </c:pt>
                <c:pt idx="18">
                  <c:v>9.0018621031249732E-2</c:v>
                </c:pt>
                <c:pt idx="19">
                  <c:v>0.17929786940515863</c:v>
                </c:pt>
                <c:pt idx="20">
                  <c:v>0.4482446735128966</c:v>
                </c:pt>
                <c:pt idx="21">
                  <c:v>3.2624818505165458E-2</c:v>
                </c:pt>
                <c:pt idx="22">
                  <c:v>8.1793100218332679E-2</c:v>
                </c:pt>
                <c:pt idx="23">
                  <c:v>0.16358620043666536</c:v>
                </c:pt>
                <c:pt idx="24">
                  <c:v>0.32439975340830246</c:v>
                </c:pt>
              </c:numCache>
            </c:numRef>
          </c:xVal>
          <c:yVal>
            <c:numRef>
              <c:f>PEO!#REF!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C-E643-A7F3-A833FFE41CC9}"/>
            </c:ext>
          </c:extLst>
        </c:ser>
        <c:ser>
          <c:idx val="2"/>
          <c:order val="2"/>
          <c:spPr>
            <a:ln w="47625">
              <a:noFill/>
            </a:ln>
          </c:spPr>
          <c:xVal>
            <c:numRef>
              <c:f>DEP!$AH$2:$AH$21</c:f>
              <c:numCache>
                <c:formatCode>0.00E+00</c:formatCode>
                <c:ptCount val="20"/>
                <c:pt idx="0">
                  <c:v>6.3926187136509063E-2</c:v>
                </c:pt>
                <c:pt idx="1">
                  <c:v>0.20200675135136861</c:v>
                </c:pt>
                <c:pt idx="2">
                  <c:v>0.63926187136509061</c:v>
                </c:pt>
                <c:pt idx="3">
                  <c:v>2.0200675135136863</c:v>
                </c:pt>
                <c:pt idx="4">
                  <c:v>6.3926187136509052</c:v>
                </c:pt>
                <c:pt idx="5">
                  <c:v>12.78523742730181</c:v>
                </c:pt>
                <c:pt idx="6">
                  <c:v>4.9353994727687527E-2</c:v>
                </c:pt>
                <c:pt idx="7">
                  <c:v>0.15595862333949256</c:v>
                </c:pt>
                <c:pt idx="8">
                  <c:v>0.49353994727687522</c:v>
                </c:pt>
                <c:pt idx="9">
                  <c:v>1.5595862333949257</c:v>
                </c:pt>
                <c:pt idx="10">
                  <c:v>4.9353994727687525</c:v>
                </c:pt>
                <c:pt idx="11">
                  <c:v>9.8707989455375049</c:v>
                </c:pt>
                <c:pt idx="12">
                  <c:v>14.806198418306257</c:v>
                </c:pt>
                <c:pt idx="13">
                  <c:v>24.676997363843768</c:v>
                </c:pt>
                <c:pt idx="14">
                  <c:v>3.0101682129171485</c:v>
                </c:pt>
                <c:pt idx="15">
                  <c:v>4.2142354980840091</c:v>
                </c:pt>
                <c:pt idx="16">
                  <c:v>6.0203364258342971</c:v>
                </c:pt>
                <c:pt idx="17">
                  <c:v>9.0305046387514469</c:v>
                </c:pt>
                <c:pt idx="18">
                  <c:v>12.040672851668594</c:v>
                </c:pt>
              </c:numCache>
            </c:numRef>
          </c:xVal>
          <c:yVal>
            <c:numRef>
              <c:f>DEP!$AN$2:$AN$21</c:f>
              <c:numCache>
                <c:formatCode>General</c:formatCode>
                <c:ptCount val="20"/>
                <c:pt idx="0">
                  <c:v>1.0194543337036901</c:v>
                </c:pt>
                <c:pt idx="1">
                  <c:v>1.1123094762638599</c:v>
                </c:pt>
                <c:pt idx="2">
                  <c:v>1.13625995264296</c:v>
                </c:pt>
                <c:pt idx="3">
                  <c:v>1.15296625308692</c:v>
                </c:pt>
                <c:pt idx="4">
                  <c:v>1.2105275445986801</c:v>
                </c:pt>
                <c:pt idx="6">
                  <c:v>1.0503995407359099</c:v>
                </c:pt>
                <c:pt idx="7">
                  <c:v>1.14075427642398</c:v>
                </c:pt>
                <c:pt idx="8">
                  <c:v>1.16658168119119</c:v>
                </c:pt>
                <c:pt idx="9">
                  <c:v>1.1896945619074399</c:v>
                </c:pt>
                <c:pt idx="10">
                  <c:v>1.2844664043151599</c:v>
                </c:pt>
                <c:pt idx="11">
                  <c:v>1.51238645721313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7C-E643-A7F3-A833FFE41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65720"/>
        <c:axId val="2079268808"/>
      </c:scatterChart>
      <c:valAx>
        <c:axId val="2079265720"/>
        <c:scaling>
          <c:logBase val="10"/>
          <c:orientation val="minMax"/>
          <c:max val="3"/>
        </c:scaling>
        <c:delete val="0"/>
        <c:axPos val="b"/>
        <c:numFmt formatCode="0.00E+00" sourceLinked="1"/>
        <c:majorTickMark val="out"/>
        <c:minorTickMark val="none"/>
        <c:tickLblPos val="nextTo"/>
        <c:crossAx val="2079268808"/>
        <c:crosses val="autoZero"/>
        <c:crossBetween val="midCat"/>
      </c:valAx>
      <c:valAx>
        <c:axId val="207926880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265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nk5k!$H$1:$H$2</c:f>
              <c:strCache>
                <c:ptCount val="2"/>
                <c:pt idx="0">
                  <c:v>h* = 0.25</c:v>
                </c:pt>
                <c:pt idx="1">
                  <c:v>Wie</c:v>
                </c:pt>
              </c:strCache>
            </c:strRef>
          </c:tx>
          <c:marker>
            <c:symbol val="none"/>
          </c:marker>
          <c:xVal>
            <c:numRef>
              <c:f>nk5k!$M$3:$M$53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nk5k!$P$3:$P$53</c:f>
              <c:numCache>
                <c:formatCode>General</c:formatCode>
                <c:ptCount val="51"/>
                <c:pt idx="0">
                  <c:v>3.1205956205966698</c:v>
                </c:pt>
                <c:pt idx="1">
                  <c:v>3.8782091089630399</c:v>
                </c:pt>
                <c:pt idx="2">
                  <c:v>4.7765927847177698</c:v>
                </c:pt>
                <c:pt idx="3">
                  <c:v>6.0178334884730802</c:v>
                </c:pt>
                <c:pt idx="4">
                  <c:v>7.2137140552711596</c:v>
                </c:pt>
                <c:pt idx="5">
                  <c:v>8.5151942529114706</c:v>
                </c:pt>
                <c:pt idx="6">
                  <c:v>10.094086475332199</c:v>
                </c:pt>
                <c:pt idx="7">
                  <c:v>11.4386851217726</c:v>
                </c:pt>
                <c:pt idx="8">
                  <c:v>12.6990868385083</c:v>
                </c:pt>
                <c:pt idx="9">
                  <c:v>13.8948486210433</c:v>
                </c:pt>
                <c:pt idx="10">
                  <c:v>14.731774746921401</c:v>
                </c:pt>
                <c:pt idx="11">
                  <c:v>15.3438333640057</c:v>
                </c:pt>
                <c:pt idx="12">
                  <c:v>15.9846603526619</c:v>
                </c:pt>
                <c:pt idx="13">
                  <c:v>16.657249490667098</c:v>
                </c:pt>
                <c:pt idx="14">
                  <c:v>17.360248071695299</c:v>
                </c:pt>
                <c:pt idx="15">
                  <c:v>18.0901188758695</c:v>
                </c:pt>
                <c:pt idx="16">
                  <c:v>18.850033001695301</c:v>
                </c:pt>
                <c:pt idx="17">
                  <c:v>19.630773034911002</c:v>
                </c:pt>
                <c:pt idx="18">
                  <c:v>20.4356936896734</c:v>
                </c:pt>
                <c:pt idx="19">
                  <c:v>21.254922733095299</c:v>
                </c:pt>
                <c:pt idx="20">
                  <c:v>22.087842000276702</c:v>
                </c:pt>
                <c:pt idx="21">
                  <c:v>22.926719029917301</c:v>
                </c:pt>
                <c:pt idx="22">
                  <c:v>23.767024126274599</c:v>
                </c:pt>
                <c:pt idx="23">
                  <c:v>24.602776184645499</c:v>
                </c:pt>
                <c:pt idx="24">
                  <c:v>25.427088960268701</c:v>
                </c:pt>
                <c:pt idx="25">
                  <c:v>26.2355421993908</c:v>
                </c:pt>
                <c:pt idx="26">
                  <c:v>27.020514352783799</c:v>
                </c:pt>
                <c:pt idx="27">
                  <c:v>27.779184098972799</c:v>
                </c:pt>
                <c:pt idx="28">
                  <c:v>28.5044622239127</c:v>
                </c:pt>
                <c:pt idx="29">
                  <c:v>29.1953865333418</c:v>
                </c:pt>
                <c:pt idx="30">
                  <c:v>29.845957106196298</c:v>
                </c:pt>
                <c:pt idx="31">
                  <c:v>30.457533400514599</c:v>
                </c:pt>
                <c:pt idx="32">
                  <c:v>31.024910383190502</c:v>
                </c:pt>
                <c:pt idx="33">
                  <c:v>31.552390240493601</c:v>
                </c:pt>
                <c:pt idx="34">
                  <c:v>32.034503433479998</c:v>
                </c:pt>
                <c:pt idx="35">
                  <c:v>32.479295854909402</c:v>
                </c:pt>
                <c:pt idx="36">
                  <c:v>32.879448978552098</c:v>
                </c:pt>
                <c:pt idx="37">
                  <c:v>33.247687786403297</c:v>
                </c:pt>
                <c:pt idx="38">
                  <c:v>33.574155968049602</c:v>
                </c:pt>
                <c:pt idx="39">
                  <c:v>33.874026979058499</c:v>
                </c:pt>
                <c:pt idx="40">
                  <c:v>34.138685290938199</c:v>
                </c:pt>
                <c:pt idx="41">
                  <c:v>34.379230258922703</c:v>
                </c:pt>
                <c:pt idx="42">
                  <c:v>34.594033148807902</c:v>
                </c:pt>
                <c:pt idx="43">
                  <c:v>34.787874306441701</c:v>
                </c:pt>
                <c:pt idx="44">
                  <c:v>34.967703762889201</c:v>
                </c:pt>
                <c:pt idx="45">
                  <c:v>35.134871256206097</c:v>
                </c:pt>
                <c:pt idx="46">
                  <c:v>35.316584864755903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F7-A14B-9403-C617347EA57D}"/>
            </c:ext>
          </c:extLst>
        </c:ser>
        <c:ser>
          <c:idx val="2"/>
          <c:order val="1"/>
          <c:tx>
            <c:strRef>
              <c:f>nk5k!$J$1:$J$2</c:f>
              <c:strCache>
                <c:ptCount val="2"/>
                <c:pt idx="0">
                  <c:v>h* = 0.25</c:v>
                </c:pt>
                <c:pt idx="1">
                  <c:v>lebylz</c:v>
                </c:pt>
              </c:strCache>
            </c:strRef>
          </c:tx>
          <c:marker>
            <c:symbol val="none"/>
          </c:marker>
          <c:xVal>
            <c:numRef>
              <c:f>nk5k!$G$3:$G$53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nk5k!$J$3:$J$53</c:f>
              <c:numCache>
                <c:formatCode>General</c:formatCode>
                <c:ptCount val="51"/>
                <c:pt idx="0">
                  <c:v>1.1574842715973199</c:v>
                </c:pt>
                <c:pt idx="1">
                  <c:v>1.3920861627832599</c:v>
                </c:pt>
                <c:pt idx="2">
                  <c:v>1.6601362302810201</c:v>
                </c:pt>
                <c:pt idx="3">
                  <c:v>1.9596166127674099</c:v>
                </c:pt>
                <c:pt idx="4">
                  <c:v>2.35934440944082</c:v>
                </c:pt>
                <c:pt idx="5">
                  <c:v>2.7044676602258799</c:v>
                </c:pt>
                <c:pt idx="6">
                  <c:v>3.0505253790213001</c:v>
                </c:pt>
                <c:pt idx="7">
                  <c:v>3.43459622062527</c:v>
                </c:pt>
                <c:pt idx="8">
                  <c:v>3.7377181850941201</c:v>
                </c:pt>
                <c:pt idx="9">
                  <c:v>3.98061424938094</c:v>
                </c:pt>
                <c:pt idx="10">
                  <c:v>4.1709058711214304</c:v>
                </c:pt>
                <c:pt idx="11">
                  <c:v>4.2628354347939696</c:v>
                </c:pt>
                <c:pt idx="12">
                  <c:v>4.2706008124647203</c:v>
                </c:pt>
                <c:pt idx="13">
                  <c:v>4.2720301492546904</c:v>
                </c:pt>
                <c:pt idx="14">
                  <c:v>4.2726160623574598</c:v>
                </c:pt>
                <c:pt idx="15">
                  <c:v>4.2735031777342298</c:v>
                </c:pt>
                <c:pt idx="16">
                  <c:v>4.2739787947396897</c:v>
                </c:pt>
                <c:pt idx="17">
                  <c:v>4.27434050986556</c:v>
                </c:pt>
                <c:pt idx="18">
                  <c:v>4.2748352270105299</c:v>
                </c:pt>
                <c:pt idx="19">
                  <c:v>4.2747269550217899</c:v>
                </c:pt>
                <c:pt idx="20">
                  <c:v>4.2753141564971902</c:v>
                </c:pt>
                <c:pt idx="21">
                  <c:v>4.2753517187565899</c:v>
                </c:pt>
                <c:pt idx="22">
                  <c:v>4.2754997808058102</c:v>
                </c:pt>
                <c:pt idx="23">
                  <c:v>4.2757227157902697</c:v>
                </c:pt>
                <c:pt idx="24">
                  <c:v>4.2754463127717299</c:v>
                </c:pt>
                <c:pt idx="25">
                  <c:v>4.2758798536768303</c:v>
                </c:pt>
                <c:pt idx="26">
                  <c:v>4.2758022431200597</c:v>
                </c:pt>
                <c:pt idx="27">
                  <c:v>4.2758496866945999</c:v>
                </c:pt>
                <c:pt idx="28">
                  <c:v>4.2760090280233802</c:v>
                </c:pt>
                <c:pt idx="29">
                  <c:v>4.2756667741996903</c:v>
                </c:pt>
                <c:pt idx="30">
                  <c:v>4.2760531849508698</c:v>
                </c:pt>
                <c:pt idx="31">
                  <c:v>4.27596103239744</c:v>
                </c:pt>
                <c:pt idx="32">
                  <c:v>4.2759432057250804</c:v>
                </c:pt>
                <c:pt idx="33">
                  <c:v>4.2761041996795299</c:v>
                </c:pt>
                <c:pt idx="34">
                  <c:v>4.2757715287661897</c:v>
                </c:pt>
                <c:pt idx="35">
                  <c:v>4.2761009083699797</c:v>
                </c:pt>
                <c:pt idx="36">
                  <c:v>4.2760265809785096</c:v>
                </c:pt>
                <c:pt idx="37">
                  <c:v>4.2759544502241802</c:v>
                </c:pt>
                <c:pt idx="38">
                  <c:v>4.2761376616142197</c:v>
                </c:pt>
                <c:pt idx="39">
                  <c:v>4.2758302155048398</c:v>
                </c:pt>
                <c:pt idx="40">
                  <c:v>4.2761072167177296</c:v>
                </c:pt>
                <c:pt idx="41">
                  <c:v>4.2760600416984298</c:v>
                </c:pt>
                <c:pt idx="42">
                  <c:v>4.2759374463703903</c:v>
                </c:pt>
                <c:pt idx="43">
                  <c:v>4.2761497299814604</c:v>
                </c:pt>
                <c:pt idx="44">
                  <c:v>4.2758719005220103</c:v>
                </c:pt>
                <c:pt idx="45">
                  <c:v>4.2760987141664302</c:v>
                </c:pt>
                <c:pt idx="46">
                  <c:v>4.2760828062580201</c:v>
                </c:pt>
                <c:pt idx="47">
                  <c:v>4.2759105695869897</c:v>
                </c:pt>
                <c:pt idx="48">
                  <c:v>4.27615356993077</c:v>
                </c:pt>
                <c:pt idx="49">
                  <c:v>4.2759072785755103</c:v>
                </c:pt>
                <c:pt idx="50">
                  <c:v>4.2760852747188096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F7-A14B-9403-C617347EA57D}"/>
            </c:ext>
          </c:extLst>
        </c:ser>
        <c:ser>
          <c:idx val="3"/>
          <c:order val="2"/>
          <c:tx>
            <c:strRef>
              <c:f>nk5k!$K$1:$K$2</c:f>
              <c:strCache>
                <c:ptCount val="2"/>
                <c:pt idx="0">
                  <c:v>h* = 0.25</c:v>
                </c:pt>
                <c:pt idx="1">
                  <c:v>etape</c:v>
                </c:pt>
              </c:strCache>
            </c:strRef>
          </c:tx>
          <c:marker>
            <c:symbol val="none"/>
          </c:marker>
          <c:xVal>
            <c:numRef>
              <c:f>nk5k!$A$3:$A$53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nk5k!$D$3:$D$53</c:f>
              <c:numCache>
                <c:formatCode>General</c:formatCode>
                <c:ptCount val="51"/>
                <c:pt idx="1">
                  <c:v>0.15231362453672601</c:v>
                </c:pt>
                <c:pt idx="2">
                  <c:v>0.18071691429989201</c:v>
                </c:pt>
                <c:pt idx="3">
                  <c:v>0.213783016502093</c:v>
                </c:pt>
                <c:pt idx="4">
                  <c:v>0.25185280553447498</c:v>
                </c:pt>
                <c:pt idx="5">
                  <c:v>0.29499492291613</c:v>
                </c:pt>
                <c:pt idx="6">
                  <c:v>0.35324362782053598</c:v>
                </c:pt>
                <c:pt idx="7">
                  <c:v>0.40738864489704002</c:v>
                </c:pt>
                <c:pt idx="8">
                  <c:v>0.46325764629908101</c:v>
                </c:pt>
                <c:pt idx="9">
                  <c:v>0.53255992850276401</c:v>
                </c:pt>
                <c:pt idx="10">
                  <c:v>0.59309870348623395</c:v>
                </c:pt>
                <c:pt idx="11">
                  <c:v>0.65516324489644995</c:v>
                </c:pt>
                <c:pt idx="12">
                  <c:v>0.71481521110042501</c:v>
                </c:pt>
                <c:pt idx="13">
                  <c:v>0.76658633531800202</c:v>
                </c:pt>
                <c:pt idx="14">
                  <c:v>0.81076515815863504</c:v>
                </c:pt>
                <c:pt idx="15">
                  <c:v>0.84821138513428096</c:v>
                </c:pt>
                <c:pt idx="16">
                  <c:v>0.87913354250821396</c:v>
                </c:pt>
                <c:pt idx="17">
                  <c:v>0.903765434297091</c:v>
                </c:pt>
                <c:pt idx="18">
                  <c:v>0.92285945621530896</c:v>
                </c:pt>
                <c:pt idx="19">
                  <c:v>0.93743245359750405</c:v>
                </c:pt>
                <c:pt idx="20">
                  <c:v>0.94846599638669504</c:v>
                </c:pt>
                <c:pt idx="21">
                  <c:v>0.95678934562248896</c:v>
                </c:pt>
                <c:pt idx="22">
                  <c:v>0.96307635557306803</c:v>
                </c:pt>
                <c:pt idx="23">
                  <c:v>0.968027794091466</c:v>
                </c:pt>
                <c:pt idx="24">
                  <c:v>0.97238717960401599</c:v>
                </c:pt>
                <c:pt idx="25">
                  <c:v>0.97633701286927899</c:v>
                </c:pt>
                <c:pt idx="26">
                  <c:v>0.97997703570813399</c:v>
                </c:pt>
                <c:pt idx="27">
                  <c:v>0.98340870521843204</c:v>
                </c:pt>
                <c:pt idx="28">
                  <c:v>0.98674793088456303</c:v>
                </c:pt>
                <c:pt idx="29">
                  <c:v>0.99017683681999102</c:v>
                </c:pt>
                <c:pt idx="30">
                  <c:v>0.99412050787449602</c:v>
                </c:pt>
                <c:pt idx="31">
                  <c:v>0.99997493062848897</c:v>
                </c:pt>
                <c:pt idx="32">
                  <c:v>0.99996702608731503</c:v>
                </c:pt>
                <c:pt idx="33">
                  <c:v>0.99976951313644102</c:v>
                </c:pt>
                <c:pt idx="34">
                  <c:v>1.0002277168431599</c:v>
                </c:pt>
                <c:pt idx="35">
                  <c:v>0.99970491210256995</c:v>
                </c:pt>
                <c:pt idx="36">
                  <c:v>1.0000837020054401</c:v>
                </c:pt>
                <c:pt idx="37">
                  <c:v>1.00031168711859</c:v>
                </c:pt>
                <c:pt idx="38">
                  <c:v>0.99975928795623903</c:v>
                </c:pt>
                <c:pt idx="39">
                  <c:v>0.99976778893450302</c:v>
                </c:pt>
                <c:pt idx="40">
                  <c:v>0.999710278962605</c:v>
                </c:pt>
                <c:pt idx="41">
                  <c:v>1.0002989743589501</c:v>
                </c:pt>
                <c:pt idx="42">
                  <c:v>1.0001571146811501</c:v>
                </c:pt>
                <c:pt idx="43">
                  <c:v>0.99998301528848499</c:v>
                </c:pt>
                <c:pt idx="44">
                  <c:v>0.99978378675827595</c:v>
                </c:pt>
                <c:pt idx="45">
                  <c:v>1.0002815792645601</c:v>
                </c:pt>
                <c:pt idx="46">
                  <c:v>1.00005002250213</c:v>
                </c:pt>
                <c:pt idx="47">
                  <c:v>0.99980615758216795</c:v>
                </c:pt>
                <c:pt idx="48">
                  <c:v>1.00027536580545</c:v>
                </c:pt>
                <c:pt idx="49">
                  <c:v>1.0000154752394801</c:v>
                </c:pt>
                <c:pt idx="50">
                  <c:v>0.99974948277460596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F7-A14B-9403-C617347EA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380744"/>
        <c:axId val="2078377752"/>
      </c:scatterChart>
      <c:valAx>
        <c:axId val="207838074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8377752"/>
        <c:crosses val="autoZero"/>
        <c:crossBetween val="midCat"/>
      </c:valAx>
      <c:valAx>
        <c:axId val="207837775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380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nk5k!$H$1:$H$2</c:f>
              <c:strCache>
                <c:ptCount val="2"/>
                <c:pt idx="0">
                  <c:v>h* = 0.25</c:v>
                </c:pt>
                <c:pt idx="1">
                  <c:v>Wie</c:v>
                </c:pt>
              </c:strCache>
            </c:strRef>
          </c:tx>
          <c:marker>
            <c:symbol val="none"/>
          </c:marker>
          <c:xVal>
            <c:numRef>
              <c:f>nk5k!$M$3:$M$53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nk5k!$AB$3:$AB$53</c:f>
              <c:numCache>
                <c:formatCode>General</c:formatCode>
                <c:ptCount val="51"/>
                <c:pt idx="1">
                  <c:v>0.46171639282959998</c:v>
                </c:pt>
                <c:pt idx="2">
                  <c:v>0.57620202657167197</c:v>
                </c:pt>
                <c:pt idx="3">
                  <c:v>0.71567196064960703</c:v>
                </c:pt>
                <c:pt idx="4">
                  <c:v>0.88364317066103204</c:v>
                </c:pt>
                <c:pt idx="5">
                  <c:v>1.0825387985694299</c:v>
                </c:pt>
                <c:pt idx="6">
                  <c:v>1.35743110181977</c:v>
                </c:pt>
                <c:pt idx="7">
                  <c:v>1.6233872834440899</c:v>
                </c:pt>
                <c:pt idx="8">
                  <c:v>1.96608760373213</c:v>
                </c:pt>
                <c:pt idx="9">
                  <c:v>2.2793077117949001</c:v>
                </c:pt>
                <c:pt idx="10">
                  <c:v>2.6492462828094201</c:v>
                </c:pt>
                <c:pt idx="11">
                  <c:v>3.0055146384792701</c:v>
                </c:pt>
                <c:pt idx="12">
                  <c:v>3.3037965660834101</c:v>
                </c:pt>
                <c:pt idx="13">
                  <c:v>3.59930136840579</c:v>
                </c:pt>
                <c:pt idx="14">
                  <c:v>3.8423402495649901</c:v>
                </c:pt>
                <c:pt idx="15">
                  <c:v>4.0293460496271196</c:v>
                </c:pt>
                <c:pt idx="16">
                  <c:v>4.2030861454238799</c:v>
                </c:pt>
                <c:pt idx="17">
                  <c:v>4.3834049461157898</c:v>
                </c:pt>
                <c:pt idx="18">
                  <c:v>4.5691637283517004</c:v>
                </c:pt>
                <c:pt idx="19">
                  <c:v>4.7607492600486401</c:v>
                </c:pt>
                <c:pt idx="20">
                  <c:v>4.9562632075121504</c:v>
                </c:pt>
                <c:pt idx="21">
                  <c:v>5.1553787329388499</c:v>
                </c:pt>
                <c:pt idx="22">
                  <c:v>5.3566389982870799</c:v>
                </c:pt>
                <c:pt idx="23">
                  <c:v>5.55839821304167</c:v>
                </c:pt>
                <c:pt idx="24">
                  <c:v>5.7602891941669396</c:v>
                </c:pt>
                <c:pt idx="25">
                  <c:v>5.9598898814986097</c:v>
                </c:pt>
                <c:pt idx="26">
                  <c:v>6.1558271937421303</c:v>
                </c:pt>
                <c:pt idx="27">
                  <c:v>6.34763938908287</c:v>
                </c:pt>
                <c:pt idx="28">
                  <c:v>6.5331045309464502</c:v>
                </c:pt>
                <c:pt idx="29">
                  <c:v>6.7110678972027102</c:v>
                </c:pt>
                <c:pt idx="30">
                  <c:v>6.8813443091463196</c:v>
                </c:pt>
                <c:pt idx="31">
                  <c:v>7.0425312170602501</c:v>
                </c:pt>
                <c:pt idx="32">
                  <c:v>7.1938146219894703</c:v>
                </c:pt>
                <c:pt idx="33">
                  <c:v>7.3354641258565998</c:v>
                </c:pt>
                <c:pt idx="34">
                  <c:v>7.4670489023036302</c:v>
                </c:pt>
                <c:pt idx="35">
                  <c:v>7.5881139753055198</c:v>
                </c:pt>
                <c:pt idx="36">
                  <c:v>7.6996869857358101</c:v>
                </c:pt>
                <c:pt idx="37">
                  <c:v>7.8016292758684003</c:v>
                </c:pt>
                <c:pt idx="38">
                  <c:v>7.8940801597424102</c:v>
                </c:pt>
                <c:pt idx="39">
                  <c:v>7.9789328952055198</c:v>
                </c:pt>
                <c:pt idx="40">
                  <c:v>8.0556918022300792</c:v>
                </c:pt>
                <c:pt idx="41">
                  <c:v>8.1261332269321809</c:v>
                </c:pt>
                <c:pt idx="42">
                  <c:v>8.1917863535511906</c:v>
                </c:pt>
                <c:pt idx="43">
                  <c:v>8.2550444420875202</c:v>
                </c:pt>
                <c:pt idx="44">
                  <c:v>9.1377212011230498</c:v>
                </c:pt>
                <c:pt idx="45">
                  <c:v>9.8057890704483999</c:v>
                </c:pt>
                <c:pt idx="46">
                  <c:v>10.370452659719501</c:v>
                </c:pt>
                <c:pt idx="47">
                  <c:v>10.809778684014701</c:v>
                </c:pt>
                <c:pt idx="48">
                  <c:v>11.0583085776984</c:v>
                </c:pt>
                <c:pt idx="49">
                  <c:v>11.0918952927435</c:v>
                </c:pt>
                <c:pt idx="50">
                  <c:v>11.0968080356238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C1-704B-9418-82AE4192C0D9}"/>
            </c:ext>
          </c:extLst>
        </c:ser>
        <c:ser>
          <c:idx val="2"/>
          <c:order val="1"/>
          <c:tx>
            <c:strRef>
              <c:f>nk5k!$J$1:$J$2</c:f>
              <c:strCache>
                <c:ptCount val="2"/>
                <c:pt idx="0">
                  <c:v>h* = 0.25</c:v>
                </c:pt>
                <c:pt idx="1">
                  <c:v>lebylz</c:v>
                </c:pt>
              </c:strCache>
            </c:strRef>
          </c:tx>
          <c:marker>
            <c:symbol val="none"/>
          </c:marker>
          <c:xVal>
            <c:numRef>
              <c:f>nk5k!$G$3:$G$53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nk5k!$V$3:$V$53</c:f>
              <c:numCache>
                <c:formatCode>General</c:formatCode>
                <c:ptCount val="51"/>
                <c:pt idx="1">
                  <c:v>0.171190939329221</c:v>
                </c:pt>
                <c:pt idx="2">
                  <c:v>0.20416355432088301</c:v>
                </c:pt>
                <c:pt idx="3">
                  <c:v>0.243172018487639</c:v>
                </c:pt>
                <c:pt idx="4">
                  <c:v>0.288726790931501</c:v>
                </c:pt>
                <c:pt idx="5">
                  <c:v>0.34892892080611498</c:v>
                </c:pt>
                <c:pt idx="6">
                  <c:v>0.41443763972376502</c:v>
                </c:pt>
                <c:pt idx="7">
                  <c:v>0.481251870866648</c:v>
                </c:pt>
                <c:pt idx="8">
                  <c:v>0.56217559481621304</c:v>
                </c:pt>
                <c:pt idx="9">
                  <c:v>0.64435217106570697</c:v>
                </c:pt>
                <c:pt idx="10">
                  <c:v>0.73109049245838797</c:v>
                </c:pt>
                <c:pt idx="11">
                  <c:v>0.81090446589335397</c:v>
                </c:pt>
                <c:pt idx="12">
                  <c:v>0.89510766730967595</c:v>
                </c:pt>
                <c:pt idx="13">
                  <c:v>0.96934503047797704</c:v>
                </c:pt>
                <c:pt idx="14">
                  <c:v>1.03215749641694</c:v>
                </c:pt>
                <c:pt idx="15">
                  <c:v>1.0837747534356901</c:v>
                </c:pt>
                <c:pt idx="16">
                  <c:v>1.12390699833679</c:v>
                </c:pt>
                <c:pt idx="17">
                  <c:v>1.1522802006216599</c:v>
                </c:pt>
                <c:pt idx="18">
                  <c:v>1.1695448258433401</c:v>
                </c:pt>
                <c:pt idx="19">
                  <c:v>1.1771305776529899</c:v>
                </c:pt>
                <c:pt idx="20">
                  <c:v>1.18025906710128</c:v>
                </c:pt>
                <c:pt idx="21">
                  <c:v>1.1826454514500999</c:v>
                </c:pt>
                <c:pt idx="22">
                  <c:v>1.1845352806903799</c:v>
                </c:pt>
                <c:pt idx="23">
                  <c:v>1.18603837374973</c:v>
                </c:pt>
                <c:pt idx="24">
                  <c:v>1.1872633287019401</c:v>
                </c:pt>
                <c:pt idx="25">
                  <c:v>1.18825792511891</c:v>
                </c:pt>
                <c:pt idx="26">
                  <c:v>1.1890235010138299</c:v>
                </c:pt>
                <c:pt idx="27">
                  <c:v>1.1896638837275799</c:v>
                </c:pt>
                <c:pt idx="28">
                  <c:v>1.1901610528316999</c:v>
                </c:pt>
                <c:pt idx="29">
                  <c:v>1.1905618896722101</c:v>
                </c:pt>
                <c:pt idx="30">
                  <c:v>1.19087938821191</c:v>
                </c:pt>
                <c:pt idx="31">
                  <c:v>1.19113701627658</c:v>
                </c:pt>
                <c:pt idx="32">
                  <c:v>1.19132962923934</c:v>
                </c:pt>
                <c:pt idx="33">
                  <c:v>1.19150392644332</c:v>
                </c:pt>
                <c:pt idx="34">
                  <c:v>1.19160600319665</c:v>
                </c:pt>
                <c:pt idx="35">
                  <c:v>1.1917345983691401</c:v>
                </c:pt>
                <c:pt idx="36">
                  <c:v>1.1917985122076</c:v>
                </c:pt>
                <c:pt idx="37">
                  <c:v>1.1918745146836001</c:v>
                </c:pt>
                <c:pt idx="38">
                  <c:v>1.1919264030739301</c:v>
                </c:pt>
                <c:pt idx="39">
                  <c:v>1.19195272191046</c:v>
                </c:pt>
                <c:pt idx="40">
                  <c:v>1.19200406296969</c:v>
                </c:pt>
                <c:pt idx="41">
                  <c:v>1.19200902894391</c:v>
                </c:pt>
                <c:pt idx="42">
                  <c:v>1.1920457954908701</c:v>
                </c:pt>
                <c:pt idx="43">
                  <c:v>1.1920608437868001</c:v>
                </c:pt>
                <c:pt idx="44">
                  <c:v>1.1920606945808701</c:v>
                </c:pt>
                <c:pt idx="45">
                  <c:v>1.1920893641208801</c:v>
                </c:pt>
                <c:pt idx="46">
                  <c:v>1.19207742719317</c:v>
                </c:pt>
                <c:pt idx="47">
                  <c:v>1.19209916963319</c:v>
                </c:pt>
                <c:pt idx="48">
                  <c:v>1.1921043069333801</c:v>
                </c:pt>
                <c:pt idx="49">
                  <c:v>1.1920932010412699</c:v>
                </c:pt>
                <c:pt idx="50">
                  <c:v>1.1921163509850199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C1-704B-9418-82AE4192C0D9}"/>
            </c:ext>
          </c:extLst>
        </c:ser>
        <c:ser>
          <c:idx val="3"/>
          <c:order val="2"/>
          <c:tx>
            <c:strRef>
              <c:f>nk5k!$K$1:$K$2</c:f>
              <c:strCache>
                <c:ptCount val="2"/>
                <c:pt idx="0">
                  <c:v>h* = 0.25</c:v>
                </c:pt>
                <c:pt idx="1">
                  <c:v>etape</c:v>
                </c:pt>
              </c:strCache>
            </c:strRef>
          </c:tx>
          <c:marker>
            <c:symbol val="none"/>
          </c:marker>
          <c:xVal>
            <c:numRef>
              <c:f>nk5k!$A$3:$A$53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nk5k!$D$3:$D$53</c:f>
              <c:numCache>
                <c:formatCode>General</c:formatCode>
                <c:ptCount val="51"/>
                <c:pt idx="1">
                  <c:v>0.15231362453672601</c:v>
                </c:pt>
                <c:pt idx="2">
                  <c:v>0.18071691429989201</c:v>
                </c:pt>
                <c:pt idx="3">
                  <c:v>0.213783016502093</c:v>
                </c:pt>
                <c:pt idx="4">
                  <c:v>0.25185280553447498</c:v>
                </c:pt>
                <c:pt idx="5">
                  <c:v>0.29499492291613</c:v>
                </c:pt>
                <c:pt idx="6">
                  <c:v>0.35324362782053598</c:v>
                </c:pt>
                <c:pt idx="7">
                  <c:v>0.40738864489704002</c:v>
                </c:pt>
                <c:pt idx="8">
                  <c:v>0.46325764629908101</c:v>
                </c:pt>
                <c:pt idx="9">
                  <c:v>0.53255992850276401</c:v>
                </c:pt>
                <c:pt idx="10">
                  <c:v>0.59309870348623395</c:v>
                </c:pt>
                <c:pt idx="11">
                  <c:v>0.65516324489644995</c:v>
                </c:pt>
                <c:pt idx="12">
                  <c:v>0.71481521110042501</c:v>
                </c:pt>
                <c:pt idx="13">
                  <c:v>0.76658633531800202</c:v>
                </c:pt>
                <c:pt idx="14">
                  <c:v>0.81076515815863504</c:v>
                </c:pt>
                <c:pt idx="15">
                  <c:v>0.84821138513428096</c:v>
                </c:pt>
                <c:pt idx="16">
                  <c:v>0.87913354250821396</c:v>
                </c:pt>
                <c:pt idx="17">
                  <c:v>0.903765434297091</c:v>
                </c:pt>
                <c:pt idx="18">
                  <c:v>0.92285945621530896</c:v>
                </c:pt>
                <c:pt idx="19">
                  <c:v>0.93743245359750405</c:v>
                </c:pt>
                <c:pt idx="20">
                  <c:v>0.94846599638669504</c:v>
                </c:pt>
                <c:pt idx="21">
                  <c:v>0.95678934562248896</c:v>
                </c:pt>
                <c:pt idx="22">
                  <c:v>0.96307635557306803</c:v>
                </c:pt>
                <c:pt idx="23">
                  <c:v>0.968027794091466</c:v>
                </c:pt>
                <c:pt idx="24">
                  <c:v>0.97238717960401599</c:v>
                </c:pt>
                <c:pt idx="25">
                  <c:v>0.97633701286927899</c:v>
                </c:pt>
                <c:pt idx="26">
                  <c:v>0.97997703570813399</c:v>
                </c:pt>
                <c:pt idx="27">
                  <c:v>0.98340870521843204</c:v>
                </c:pt>
                <c:pt idx="28">
                  <c:v>0.98674793088456303</c:v>
                </c:pt>
                <c:pt idx="29">
                  <c:v>0.99017683681999102</c:v>
                </c:pt>
                <c:pt idx="30">
                  <c:v>0.99412050787449602</c:v>
                </c:pt>
                <c:pt idx="31">
                  <c:v>0.99997493062848897</c:v>
                </c:pt>
                <c:pt idx="32">
                  <c:v>0.99996702608731503</c:v>
                </c:pt>
                <c:pt idx="33">
                  <c:v>0.99976951313644102</c:v>
                </c:pt>
                <c:pt idx="34">
                  <c:v>1.0002277168431599</c:v>
                </c:pt>
                <c:pt idx="35">
                  <c:v>0.99970491210256995</c:v>
                </c:pt>
                <c:pt idx="36">
                  <c:v>1.0000837020054401</c:v>
                </c:pt>
                <c:pt idx="37">
                  <c:v>1.00031168711859</c:v>
                </c:pt>
                <c:pt idx="38">
                  <c:v>0.99975928795623903</c:v>
                </c:pt>
                <c:pt idx="39">
                  <c:v>0.99976778893450302</c:v>
                </c:pt>
                <c:pt idx="40">
                  <c:v>0.999710278962605</c:v>
                </c:pt>
                <c:pt idx="41">
                  <c:v>1.0002989743589501</c:v>
                </c:pt>
                <c:pt idx="42">
                  <c:v>1.0001571146811501</c:v>
                </c:pt>
                <c:pt idx="43">
                  <c:v>0.99998301528848499</c:v>
                </c:pt>
                <c:pt idx="44">
                  <c:v>0.99978378675827595</c:v>
                </c:pt>
                <c:pt idx="45">
                  <c:v>1.0002815792645601</c:v>
                </c:pt>
                <c:pt idx="46">
                  <c:v>1.00005002250213</c:v>
                </c:pt>
                <c:pt idx="47">
                  <c:v>0.99980615758216795</c:v>
                </c:pt>
                <c:pt idx="48">
                  <c:v>1.00027536580545</c:v>
                </c:pt>
                <c:pt idx="49">
                  <c:v>1.0000154752394801</c:v>
                </c:pt>
                <c:pt idx="50">
                  <c:v>0.99974948277460596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C1-704B-9418-82AE4192C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339976"/>
        <c:axId val="2078336984"/>
      </c:scatterChart>
      <c:valAx>
        <c:axId val="2078339976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8336984"/>
        <c:crosses val="autoZero"/>
        <c:crossBetween val="midCat"/>
      </c:valAx>
      <c:valAx>
        <c:axId val="207833698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339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nk5k!$H$1:$H$2</c:f>
              <c:strCache>
                <c:ptCount val="2"/>
                <c:pt idx="0">
                  <c:v>h* = 0.25</c:v>
                </c:pt>
                <c:pt idx="1">
                  <c:v>Wie</c:v>
                </c:pt>
              </c:strCache>
            </c:strRef>
          </c:tx>
          <c:marker>
            <c:symbol val="none"/>
          </c:marker>
          <c:xVal>
            <c:numRef>
              <c:f>nk5k!$M$3:$M$53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nk5k!$AH$3:$AH$53</c:f>
              <c:numCache>
                <c:formatCode>General</c:formatCode>
                <c:ptCount val="51"/>
                <c:pt idx="2">
                  <c:v>0.12730328237510199</c:v>
                </c:pt>
                <c:pt idx="3">
                  <c:v>0.15579427496857601</c:v>
                </c:pt>
                <c:pt idx="4">
                  <c:v>0.190787342828075</c:v>
                </c:pt>
                <c:pt idx="5">
                  <c:v>0.23355851410353601</c:v>
                </c:pt>
                <c:pt idx="6">
                  <c:v>0.294457442286709</c:v>
                </c:pt>
                <c:pt idx="7">
                  <c:v>0.35896615521707298</c:v>
                </c:pt>
                <c:pt idx="8">
                  <c:v>0.43189188122299499</c:v>
                </c:pt>
                <c:pt idx="9">
                  <c:v>0.52956898750805004</c:v>
                </c:pt>
                <c:pt idx="10">
                  <c:v>0.6224723731199</c:v>
                </c:pt>
                <c:pt idx="11">
                  <c:v>0.73813748565784998</c:v>
                </c:pt>
                <c:pt idx="12">
                  <c:v>0.85564185231281897</c:v>
                </c:pt>
                <c:pt idx="13">
                  <c:v>0.96502970704023805</c:v>
                </c:pt>
                <c:pt idx="14">
                  <c:v>1.0777481420389901</c:v>
                </c:pt>
                <c:pt idx="15">
                  <c:v>1.1853618831299</c:v>
                </c:pt>
                <c:pt idx="16">
                  <c:v>1.28271005233316</c:v>
                </c:pt>
                <c:pt idx="17">
                  <c:v>1.3699459329603401</c:v>
                </c:pt>
                <c:pt idx="18">
                  <c:v>1.44359522308855</c:v>
                </c:pt>
                <c:pt idx="19">
                  <c:v>1.50883167082338</c:v>
                </c:pt>
                <c:pt idx="20">
                  <c:v>1.5746069932500799</c:v>
                </c:pt>
                <c:pt idx="21">
                  <c:v>1.6415469761416099</c:v>
                </c:pt>
                <c:pt idx="22">
                  <c:v>1.7094109139220199</c:v>
                </c:pt>
                <c:pt idx="23">
                  <c:v>1.7778735458994499</c:v>
                </c:pt>
                <c:pt idx="24">
                  <c:v>1.8465574638434401</c:v>
                </c:pt>
                <c:pt idx="25">
                  <c:v>1.9150710605789001</c:v>
                </c:pt>
                <c:pt idx="26">
                  <c:v>1.98295874994677</c:v>
                </c:pt>
                <c:pt idx="27">
                  <c:v>2.04977606503956</c:v>
                </c:pt>
                <c:pt idx="28">
                  <c:v>2.1150872707216299</c:v>
                </c:pt>
                <c:pt idx="29">
                  <c:v>2.1784807255813501</c:v>
                </c:pt>
                <c:pt idx="30">
                  <c:v>2.23958354854331</c:v>
                </c:pt>
                <c:pt idx="31">
                  <c:v>2.2980735803102901</c:v>
                </c:pt>
                <c:pt idx="32">
                  <c:v>2.35370579438634</c:v>
                </c:pt>
                <c:pt idx="33">
                  <c:v>2.4063433729118699</c:v>
                </c:pt>
                <c:pt idx="34">
                  <c:v>2.4557888033654498</c:v>
                </c:pt>
                <c:pt idx="35">
                  <c:v>2.5019957132259401</c:v>
                </c:pt>
                <c:pt idx="36">
                  <c:v>2.5449982823171</c:v>
                </c:pt>
                <c:pt idx="37">
                  <c:v>2.5849196529764402</c:v>
                </c:pt>
                <c:pt idx="38">
                  <c:v>2.6220687975310102</c:v>
                </c:pt>
                <c:pt idx="39">
                  <c:v>2.6568159700159599</c:v>
                </c:pt>
                <c:pt idx="40">
                  <c:v>2.68990719058946</c:v>
                </c:pt>
                <c:pt idx="41">
                  <c:v>2.7937837552296299</c:v>
                </c:pt>
                <c:pt idx="42">
                  <c:v>2.88532695558867</c:v>
                </c:pt>
                <c:pt idx="43">
                  <c:v>2.9578217231602202</c:v>
                </c:pt>
                <c:pt idx="44">
                  <c:v>3.0129077535787201</c:v>
                </c:pt>
                <c:pt idx="45">
                  <c:v>3.05132742634154</c:v>
                </c:pt>
                <c:pt idx="46">
                  <c:v>3.06539465551757</c:v>
                </c:pt>
                <c:pt idx="47">
                  <c:v>3.0513578565062098</c:v>
                </c:pt>
                <c:pt idx="48">
                  <c:v>3.0021212164995199</c:v>
                </c:pt>
                <c:pt idx="49">
                  <c:v>2.9586153665944099</c:v>
                </c:pt>
                <c:pt idx="50">
                  <c:v>2.9599461351808598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1A-C843-A2B0-46925B4CE250}"/>
            </c:ext>
          </c:extLst>
        </c:ser>
        <c:ser>
          <c:idx val="3"/>
          <c:order val="1"/>
          <c:tx>
            <c:strRef>
              <c:f>nk5k!$K$1:$K$2</c:f>
              <c:strCache>
                <c:ptCount val="2"/>
                <c:pt idx="0">
                  <c:v>h* = 0.25</c:v>
                </c:pt>
                <c:pt idx="1">
                  <c:v>etape</c:v>
                </c:pt>
              </c:strCache>
            </c:strRef>
          </c:tx>
          <c:marker>
            <c:symbol val="none"/>
          </c:marker>
          <c:xVal>
            <c:numRef>
              <c:f>nk5k!$A$3:$A$53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nk5k!$D$3:$D$53</c:f>
              <c:numCache>
                <c:formatCode>General</c:formatCode>
                <c:ptCount val="51"/>
                <c:pt idx="1">
                  <c:v>0.15231362453672601</c:v>
                </c:pt>
                <c:pt idx="2">
                  <c:v>0.18071691429989201</c:v>
                </c:pt>
                <c:pt idx="3">
                  <c:v>0.213783016502093</c:v>
                </c:pt>
                <c:pt idx="4">
                  <c:v>0.25185280553447498</c:v>
                </c:pt>
                <c:pt idx="5">
                  <c:v>0.29499492291613</c:v>
                </c:pt>
                <c:pt idx="6">
                  <c:v>0.35324362782053598</c:v>
                </c:pt>
                <c:pt idx="7">
                  <c:v>0.40738864489704002</c:v>
                </c:pt>
                <c:pt idx="8">
                  <c:v>0.46325764629908101</c:v>
                </c:pt>
                <c:pt idx="9">
                  <c:v>0.53255992850276401</c:v>
                </c:pt>
                <c:pt idx="10">
                  <c:v>0.59309870348623395</c:v>
                </c:pt>
                <c:pt idx="11">
                  <c:v>0.65516324489644995</c:v>
                </c:pt>
                <c:pt idx="12">
                  <c:v>0.71481521110042501</c:v>
                </c:pt>
                <c:pt idx="13">
                  <c:v>0.76658633531800202</c:v>
                </c:pt>
                <c:pt idx="14">
                  <c:v>0.81076515815863504</c:v>
                </c:pt>
                <c:pt idx="15">
                  <c:v>0.84821138513428096</c:v>
                </c:pt>
                <c:pt idx="16">
                  <c:v>0.87913354250821396</c:v>
                </c:pt>
                <c:pt idx="17">
                  <c:v>0.903765434297091</c:v>
                </c:pt>
                <c:pt idx="18">
                  <c:v>0.92285945621530896</c:v>
                </c:pt>
                <c:pt idx="19">
                  <c:v>0.93743245359750405</c:v>
                </c:pt>
                <c:pt idx="20">
                  <c:v>0.94846599638669504</c:v>
                </c:pt>
                <c:pt idx="21">
                  <c:v>0.95678934562248896</c:v>
                </c:pt>
                <c:pt idx="22">
                  <c:v>0.96307635557306803</c:v>
                </c:pt>
                <c:pt idx="23">
                  <c:v>0.968027794091466</c:v>
                </c:pt>
                <c:pt idx="24">
                  <c:v>0.97238717960401599</c:v>
                </c:pt>
                <c:pt idx="25">
                  <c:v>0.97633701286927899</c:v>
                </c:pt>
                <c:pt idx="26">
                  <c:v>0.97997703570813399</c:v>
                </c:pt>
                <c:pt idx="27">
                  <c:v>0.98340870521843204</c:v>
                </c:pt>
                <c:pt idx="28">
                  <c:v>0.98674793088456303</c:v>
                </c:pt>
                <c:pt idx="29">
                  <c:v>0.99017683681999102</c:v>
                </c:pt>
                <c:pt idx="30">
                  <c:v>0.99412050787449602</c:v>
                </c:pt>
                <c:pt idx="31">
                  <c:v>0.99997493062848897</c:v>
                </c:pt>
                <c:pt idx="32">
                  <c:v>0.99996702608731503</c:v>
                </c:pt>
                <c:pt idx="33">
                  <c:v>0.99976951313644102</c:v>
                </c:pt>
                <c:pt idx="34">
                  <c:v>1.0002277168431599</c:v>
                </c:pt>
                <c:pt idx="35">
                  <c:v>0.99970491210256995</c:v>
                </c:pt>
                <c:pt idx="36">
                  <c:v>1.0000837020054401</c:v>
                </c:pt>
                <c:pt idx="37">
                  <c:v>1.00031168711859</c:v>
                </c:pt>
                <c:pt idx="38">
                  <c:v>0.99975928795623903</c:v>
                </c:pt>
                <c:pt idx="39">
                  <c:v>0.99976778893450302</c:v>
                </c:pt>
                <c:pt idx="40">
                  <c:v>0.999710278962605</c:v>
                </c:pt>
                <c:pt idx="41">
                  <c:v>1.0002989743589501</c:v>
                </c:pt>
                <c:pt idx="42">
                  <c:v>1.0001571146811501</c:v>
                </c:pt>
                <c:pt idx="43">
                  <c:v>0.99998301528848499</c:v>
                </c:pt>
                <c:pt idx="44">
                  <c:v>0.99978378675827595</c:v>
                </c:pt>
                <c:pt idx="45">
                  <c:v>1.0002815792645601</c:v>
                </c:pt>
                <c:pt idx="46">
                  <c:v>1.00005002250213</c:v>
                </c:pt>
                <c:pt idx="47">
                  <c:v>0.99980615758216795</c:v>
                </c:pt>
                <c:pt idx="48">
                  <c:v>1.00027536580545</c:v>
                </c:pt>
                <c:pt idx="49">
                  <c:v>1.0000154752394801</c:v>
                </c:pt>
                <c:pt idx="50">
                  <c:v>0.99974948277460596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1A-C843-A2B0-46925B4CE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307656"/>
        <c:axId val="2078304664"/>
      </c:scatterChart>
      <c:valAx>
        <c:axId val="2078307656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8304664"/>
        <c:crosses val="autoZero"/>
        <c:crossBetween val="midCat"/>
      </c:valAx>
      <c:valAx>
        <c:axId val="207830466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8307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nk5k!$H$1:$H$2</c:f>
              <c:strCache>
                <c:ptCount val="2"/>
                <c:pt idx="0">
                  <c:v>h* = 0.25</c:v>
                </c:pt>
                <c:pt idx="1">
                  <c:v>Wie</c:v>
                </c:pt>
              </c:strCache>
            </c:strRef>
          </c:tx>
          <c:marker>
            <c:symbol val="none"/>
          </c:marker>
          <c:xVal>
            <c:numRef>
              <c:f>nk5k!$M$3:$M$53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nk5k!$AF$3:$AF$53</c:f>
              <c:numCache>
                <c:formatCode>General</c:formatCode>
                <c:ptCount val="51"/>
                <c:pt idx="2">
                  <c:v>5.2368379999999997</c:v>
                </c:pt>
                <c:pt idx="3">
                  <c:v>4.2791474000000003</c:v>
                </c:pt>
                <c:pt idx="4">
                  <c:v>3.4942918999999999</c:v>
                </c:pt>
                <c:pt idx="5">
                  <c:v>2.8543881999999998</c:v>
                </c:pt>
                <c:pt idx="6">
                  <c:v>2.2640509999999998</c:v>
                </c:pt>
                <c:pt idx="7">
                  <c:v>1.8571853</c:v>
                </c:pt>
                <c:pt idx="8">
                  <c:v>1.5435962000000001</c:v>
                </c:pt>
                <c:pt idx="9">
                  <c:v>1.2588854</c:v>
                </c:pt>
                <c:pt idx="10">
                  <c:v>1.0709979999999999</c:v>
                </c:pt>
                <c:pt idx="11">
                  <c:v>0.90317411000000003</c:v>
                </c:pt>
                <c:pt idx="12">
                  <c:v>0.77914218999999996</c:v>
                </c:pt>
                <c:pt idx="13">
                  <c:v>0.69082502000000001</c:v>
                </c:pt>
                <c:pt idx="14">
                  <c:v>0.61857371000000005</c:v>
                </c:pt>
                <c:pt idx="15">
                  <c:v>0.56241615</c:v>
                </c:pt>
                <c:pt idx="16">
                  <c:v>0.51973294000000003</c:v>
                </c:pt>
                <c:pt idx="17">
                  <c:v>0.48663720999999999</c:v>
                </c:pt>
                <c:pt idx="18">
                  <c:v>0.46180997000000001</c:v>
                </c:pt>
                <c:pt idx="19">
                  <c:v>0.44184297</c:v>
                </c:pt>
                <c:pt idx="20">
                  <c:v>0.42338607</c:v>
                </c:pt>
                <c:pt idx="21">
                  <c:v>0.40612098000000002</c:v>
                </c:pt>
                <c:pt idx="22">
                  <c:v>0.38999790000000001</c:v>
                </c:pt>
                <c:pt idx="23">
                  <c:v>0.37497979999999997</c:v>
                </c:pt>
                <c:pt idx="24">
                  <c:v>0.36103217999999998</c:v>
                </c:pt>
                <c:pt idx="25">
                  <c:v>0.34811588999999998</c:v>
                </c:pt>
                <c:pt idx="26">
                  <c:v>0.33619795000000002</c:v>
                </c:pt>
                <c:pt idx="27">
                  <c:v>0.32523878000000001</c:v>
                </c:pt>
                <c:pt idx="28">
                  <c:v>0.31519582000000002</c:v>
                </c:pt>
                <c:pt idx="29">
                  <c:v>0.30602367000000003</c:v>
                </c:pt>
                <c:pt idx="30">
                  <c:v>0.29767439000000001</c:v>
                </c:pt>
                <c:pt idx="31">
                  <c:v>0.33866349000000001</c:v>
                </c:pt>
                <c:pt idx="32">
                  <c:v>0.38137985000000002</c:v>
                </c:pt>
                <c:pt idx="33">
                  <c:v>0.42480630000000003</c:v>
                </c:pt>
                <c:pt idx="34">
                  <c:v>0.46783697000000002</c:v>
                </c:pt>
                <c:pt idx="35">
                  <c:v>0.50935213999999995</c:v>
                </c:pt>
                <c:pt idx="36">
                  <c:v>0.54833962999999997</c:v>
                </c:pt>
                <c:pt idx="37">
                  <c:v>0.58398234999999998</c:v>
                </c:pt>
                <c:pt idx="38">
                  <c:v>0.61568478000000004</c:v>
                </c:pt>
                <c:pt idx="39">
                  <c:v>0.64310230999999995</c:v>
                </c:pt>
                <c:pt idx="40">
                  <c:v>0.66602644</c:v>
                </c:pt>
                <c:pt idx="41">
                  <c:v>0.66684131000000002</c:v>
                </c:pt>
                <c:pt idx="42">
                  <c:v>0.66650319000000002</c:v>
                </c:pt>
                <c:pt idx="43">
                  <c:v>0.66665459000000005</c:v>
                </c:pt>
                <c:pt idx="44">
                  <c:v>0.66681634999999995</c:v>
                </c:pt>
                <c:pt idx="45">
                  <c:v>0.66650357000000005</c:v>
                </c:pt>
                <c:pt idx="46">
                  <c:v>0.66667765999999995</c:v>
                </c:pt>
                <c:pt idx="47">
                  <c:v>0.66685623999999999</c:v>
                </c:pt>
                <c:pt idx="48">
                  <c:v>0.66655410000000004</c:v>
                </c:pt>
                <c:pt idx="49">
                  <c:v>0.66673760000000004</c:v>
                </c:pt>
                <c:pt idx="50">
                  <c:v>0.66643783999999995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86-9F46-A3AE-65BDECA3CB8D}"/>
            </c:ext>
          </c:extLst>
        </c:ser>
        <c:ser>
          <c:idx val="3"/>
          <c:order val="1"/>
          <c:tx>
            <c:strRef>
              <c:f>nk5k!$K$1:$K$2</c:f>
              <c:strCache>
                <c:ptCount val="2"/>
                <c:pt idx="0">
                  <c:v>h* = 0.25</c:v>
                </c:pt>
                <c:pt idx="1">
                  <c:v>etape</c:v>
                </c:pt>
              </c:strCache>
            </c:strRef>
          </c:tx>
          <c:marker>
            <c:symbol val="none"/>
          </c:marker>
          <c:xVal>
            <c:numRef>
              <c:f>nk5k!$A$3:$A$53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nk5k!$B$3:$B$53</c:f>
              <c:numCache>
                <c:formatCode>General</c:formatCode>
                <c:ptCount val="51"/>
                <c:pt idx="1">
                  <c:v>4.3769339</c:v>
                </c:pt>
                <c:pt idx="2">
                  <c:v>3.6890109</c:v>
                </c:pt>
                <c:pt idx="3">
                  <c:v>3.1184267000000001</c:v>
                </c:pt>
                <c:pt idx="4">
                  <c:v>2.6470487999999999</c:v>
                </c:pt>
                <c:pt idx="5">
                  <c:v>2.2599258999999998</c:v>
                </c:pt>
                <c:pt idx="6">
                  <c:v>1.8872716</c:v>
                </c:pt>
                <c:pt idx="7">
                  <c:v>1.636439</c:v>
                </c:pt>
                <c:pt idx="8">
                  <c:v>1.439084</c:v>
                </c:pt>
                <c:pt idx="9">
                  <c:v>1.2518153000000001</c:v>
                </c:pt>
                <c:pt idx="10">
                  <c:v>1.1240399999999999</c:v>
                </c:pt>
                <c:pt idx="11">
                  <c:v>1.0175581</c:v>
                </c:pt>
                <c:pt idx="12">
                  <c:v>0.93264197000000004</c:v>
                </c:pt>
                <c:pt idx="13">
                  <c:v>0.86965634000000003</c:v>
                </c:pt>
                <c:pt idx="14">
                  <c:v>0.82226851999999995</c:v>
                </c:pt>
                <c:pt idx="15">
                  <c:v>0.78596759999999999</c:v>
                </c:pt>
                <c:pt idx="16">
                  <c:v>0.75832241</c:v>
                </c:pt>
                <c:pt idx="17">
                  <c:v>0.73765453000000003</c:v>
                </c:pt>
                <c:pt idx="18">
                  <c:v>0.72239240999999998</c:v>
                </c:pt>
                <c:pt idx="19">
                  <c:v>0.71116235000000005</c:v>
                </c:pt>
                <c:pt idx="20">
                  <c:v>0.70288936999999996</c:v>
                </c:pt>
                <c:pt idx="21">
                  <c:v>0.69677476000000005</c:v>
                </c:pt>
                <c:pt idx="22">
                  <c:v>0.69222618000000002</c:v>
                </c:pt>
                <c:pt idx="23">
                  <c:v>0.68868545999999997</c:v>
                </c:pt>
                <c:pt idx="24">
                  <c:v>0.68559795999999995</c:v>
                </c:pt>
                <c:pt idx="25">
                  <c:v>0.68282432999999998</c:v>
                </c:pt>
                <c:pt idx="26">
                  <c:v>0.68028805000000003</c:v>
                </c:pt>
                <c:pt idx="27">
                  <c:v>0.67791414000000005</c:v>
                </c:pt>
                <c:pt idx="28">
                  <c:v>0.67562003000000004</c:v>
                </c:pt>
                <c:pt idx="29">
                  <c:v>0.67328041000000005</c:v>
                </c:pt>
                <c:pt idx="30">
                  <c:v>0.67060951000000002</c:v>
                </c:pt>
                <c:pt idx="31">
                  <c:v>0.66668338000000005</c:v>
                </c:pt>
                <c:pt idx="32">
                  <c:v>0.66668864999999999</c:v>
                </c:pt>
                <c:pt idx="33">
                  <c:v>0.66682036</c:v>
                </c:pt>
                <c:pt idx="34">
                  <c:v>0.66651488999999997</c:v>
                </c:pt>
                <c:pt idx="35">
                  <c:v>0.66686345000000002</c:v>
                </c:pt>
                <c:pt idx="36">
                  <c:v>0.66661086999999997</c:v>
                </c:pt>
                <c:pt idx="37">
                  <c:v>0.66645894000000006</c:v>
                </c:pt>
                <c:pt idx="38">
                  <c:v>0.66682717999999996</c:v>
                </c:pt>
                <c:pt idx="39">
                  <c:v>0.66682151000000001</c:v>
                </c:pt>
                <c:pt idx="40">
                  <c:v>0.66685987000000002</c:v>
                </c:pt>
                <c:pt idx="41">
                  <c:v>0.66646740999999998</c:v>
                </c:pt>
                <c:pt idx="42">
                  <c:v>0.66656194000000002</c:v>
                </c:pt>
                <c:pt idx="43">
                  <c:v>0.66667799000000005</c:v>
                </c:pt>
                <c:pt idx="44">
                  <c:v>0.66681084000000002</c:v>
                </c:pt>
                <c:pt idx="45">
                  <c:v>0.66647900000000004</c:v>
                </c:pt>
                <c:pt idx="46">
                  <c:v>0.66663331999999997</c:v>
                </c:pt>
                <c:pt idx="47">
                  <c:v>0.66679591999999999</c:v>
                </c:pt>
                <c:pt idx="48">
                  <c:v>0.66648313999999997</c:v>
                </c:pt>
                <c:pt idx="49">
                  <c:v>0.66665635000000001</c:v>
                </c:pt>
                <c:pt idx="50">
                  <c:v>0.66683371999999996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86-9F46-A3AE-65BDECA3C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773304"/>
        <c:axId val="2086776296"/>
      </c:scatterChart>
      <c:valAx>
        <c:axId val="208677330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6776296"/>
        <c:crosses val="autoZero"/>
        <c:crossBetween val="midCat"/>
      </c:valAx>
      <c:valAx>
        <c:axId val="208677629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773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nk5k!$H$1:$H$2</c:f>
              <c:strCache>
                <c:ptCount val="2"/>
                <c:pt idx="0">
                  <c:v>h* = 0.25</c:v>
                </c:pt>
                <c:pt idx="1">
                  <c:v>Wie</c:v>
                </c:pt>
              </c:strCache>
            </c:strRef>
          </c:tx>
          <c:marker>
            <c:symbol val="none"/>
          </c:marker>
          <c:xVal>
            <c:numRef>
              <c:f>nk5k!$M$3:$M$53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nk5k!$Z$3:$Z$53</c:f>
              <c:numCache>
                <c:formatCode>General</c:formatCode>
                <c:ptCount val="51"/>
                <c:pt idx="1">
                  <c:v>1.4438877999999999</c:v>
                </c:pt>
                <c:pt idx="2">
                  <c:v>1.1570016000000001</c:v>
                </c:pt>
                <c:pt idx="3">
                  <c:v>0.93152548000000002</c:v>
                </c:pt>
                <c:pt idx="4">
                  <c:v>0.75445234999999999</c:v>
                </c:pt>
                <c:pt idx="5">
                  <c:v>0.61583628000000001</c:v>
                </c:pt>
                <c:pt idx="6">
                  <c:v>0.49112376000000002</c:v>
                </c:pt>
                <c:pt idx="7">
                  <c:v>0.41066396999999999</c:v>
                </c:pt>
                <c:pt idx="8">
                  <c:v>0.33908289000000003</c:v>
                </c:pt>
                <c:pt idx="9">
                  <c:v>0.29248647</c:v>
                </c:pt>
                <c:pt idx="10">
                  <c:v>0.25164389999999998</c:v>
                </c:pt>
                <c:pt idx="11">
                  <c:v>0.22181448000000001</c:v>
                </c:pt>
                <c:pt idx="12">
                  <c:v>0.20178805</c:v>
                </c:pt>
                <c:pt idx="13">
                  <c:v>0.18522113000000001</c:v>
                </c:pt>
                <c:pt idx="14">
                  <c:v>0.17350536999999999</c:v>
                </c:pt>
                <c:pt idx="15">
                  <c:v>0.16545282</c:v>
                </c:pt>
                <c:pt idx="16">
                  <c:v>0.15861360999999999</c:v>
                </c:pt>
                <c:pt idx="17">
                  <c:v>0.15208877000000001</c:v>
                </c:pt>
                <c:pt idx="18">
                  <c:v>0.14590562000000001</c:v>
                </c:pt>
                <c:pt idx="19">
                  <c:v>0.14003398</c:v>
                </c:pt>
                <c:pt idx="20">
                  <c:v>0.13450993999999999</c:v>
                </c:pt>
                <c:pt idx="21">
                  <c:v>0.12931477999999999</c:v>
                </c:pt>
                <c:pt idx="22">
                  <c:v>0.12445615</c:v>
                </c:pt>
                <c:pt idx="23">
                  <c:v>0.11993863</c:v>
                </c:pt>
                <c:pt idx="24">
                  <c:v>0.11573493</c:v>
                </c:pt>
                <c:pt idx="25">
                  <c:v>0.11185889</c:v>
                </c:pt>
                <c:pt idx="26">
                  <c:v>0.10829846999999999</c:v>
                </c:pt>
                <c:pt idx="27">
                  <c:v>0.10502591999999999</c:v>
                </c:pt>
                <c:pt idx="28">
                  <c:v>0.10204439</c:v>
                </c:pt>
                <c:pt idx="29">
                  <c:v>9.9338388E-2</c:v>
                </c:pt>
                <c:pt idx="30">
                  <c:v>9.6880295000000005E-2</c:v>
                </c:pt>
                <c:pt idx="31">
                  <c:v>0.1169602</c:v>
                </c:pt>
                <c:pt idx="32">
                  <c:v>0.14085603999999999</c:v>
                </c:pt>
                <c:pt idx="33">
                  <c:v>0.16904658</c:v>
                </c:pt>
                <c:pt idx="34">
                  <c:v>0.20197187</c:v>
                </c:pt>
                <c:pt idx="35">
                  <c:v>0.23996874000000001</c:v>
                </c:pt>
                <c:pt idx="36">
                  <c:v>0.28315071000000003</c:v>
                </c:pt>
                <c:pt idx="37">
                  <c:v>0.33141143000000001</c:v>
                </c:pt>
                <c:pt idx="38">
                  <c:v>0.38432787000000002</c:v>
                </c:pt>
                <c:pt idx="39">
                  <c:v>0.44104149999999998</c:v>
                </c:pt>
                <c:pt idx="40">
                  <c:v>0.50046831000000003</c:v>
                </c:pt>
                <c:pt idx="41">
                  <c:v>0.56111610999999995</c:v>
                </c:pt>
                <c:pt idx="42">
                  <c:v>0.62128992999999999</c:v>
                </c:pt>
                <c:pt idx="43">
                  <c:v>0.67910375000000001</c:v>
                </c:pt>
                <c:pt idx="44">
                  <c:v>0.66688997999999999</c:v>
                </c:pt>
                <c:pt idx="45">
                  <c:v>0.66659020999999996</c:v>
                </c:pt>
                <c:pt idx="46">
                  <c:v>0.66677728999999997</c:v>
                </c:pt>
                <c:pt idx="47">
                  <c:v>0.66648034</c:v>
                </c:pt>
                <c:pt idx="48">
                  <c:v>0.66666968000000004</c:v>
                </c:pt>
                <c:pt idx="49">
                  <c:v>0.66685978000000001</c:v>
                </c:pt>
                <c:pt idx="50">
                  <c:v>0.66656455000000003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23-3D44-8D80-95124789429C}"/>
            </c:ext>
          </c:extLst>
        </c:ser>
        <c:ser>
          <c:idx val="3"/>
          <c:order val="1"/>
          <c:tx>
            <c:strRef>
              <c:f>nk5k!$K$1:$K$2</c:f>
              <c:strCache>
                <c:ptCount val="2"/>
                <c:pt idx="0">
                  <c:v>h* = 0.25</c:v>
                </c:pt>
                <c:pt idx="1">
                  <c:v>etape</c:v>
                </c:pt>
              </c:strCache>
            </c:strRef>
          </c:tx>
          <c:marker>
            <c:symbol val="none"/>
          </c:marker>
          <c:xVal>
            <c:numRef>
              <c:f>nk5k!$A$3:$A$53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nk5k!$B$3:$B$53</c:f>
              <c:numCache>
                <c:formatCode>General</c:formatCode>
                <c:ptCount val="51"/>
                <c:pt idx="1">
                  <c:v>4.3769339</c:v>
                </c:pt>
                <c:pt idx="2">
                  <c:v>3.6890109</c:v>
                </c:pt>
                <c:pt idx="3">
                  <c:v>3.1184267000000001</c:v>
                </c:pt>
                <c:pt idx="4">
                  <c:v>2.6470487999999999</c:v>
                </c:pt>
                <c:pt idx="5">
                  <c:v>2.2599258999999998</c:v>
                </c:pt>
                <c:pt idx="6">
                  <c:v>1.8872716</c:v>
                </c:pt>
                <c:pt idx="7">
                  <c:v>1.636439</c:v>
                </c:pt>
                <c:pt idx="8">
                  <c:v>1.439084</c:v>
                </c:pt>
                <c:pt idx="9">
                  <c:v>1.2518153000000001</c:v>
                </c:pt>
                <c:pt idx="10">
                  <c:v>1.1240399999999999</c:v>
                </c:pt>
                <c:pt idx="11">
                  <c:v>1.0175581</c:v>
                </c:pt>
                <c:pt idx="12">
                  <c:v>0.93264197000000004</c:v>
                </c:pt>
                <c:pt idx="13">
                  <c:v>0.86965634000000003</c:v>
                </c:pt>
                <c:pt idx="14">
                  <c:v>0.82226851999999995</c:v>
                </c:pt>
                <c:pt idx="15">
                  <c:v>0.78596759999999999</c:v>
                </c:pt>
                <c:pt idx="16">
                  <c:v>0.75832241</c:v>
                </c:pt>
                <c:pt idx="17">
                  <c:v>0.73765453000000003</c:v>
                </c:pt>
                <c:pt idx="18">
                  <c:v>0.72239240999999998</c:v>
                </c:pt>
                <c:pt idx="19">
                  <c:v>0.71116235000000005</c:v>
                </c:pt>
                <c:pt idx="20">
                  <c:v>0.70288936999999996</c:v>
                </c:pt>
                <c:pt idx="21">
                  <c:v>0.69677476000000005</c:v>
                </c:pt>
                <c:pt idx="22">
                  <c:v>0.69222618000000002</c:v>
                </c:pt>
                <c:pt idx="23">
                  <c:v>0.68868545999999997</c:v>
                </c:pt>
                <c:pt idx="24">
                  <c:v>0.68559795999999995</c:v>
                </c:pt>
                <c:pt idx="25">
                  <c:v>0.68282432999999998</c:v>
                </c:pt>
                <c:pt idx="26">
                  <c:v>0.68028805000000003</c:v>
                </c:pt>
                <c:pt idx="27">
                  <c:v>0.67791414000000005</c:v>
                </c:pt>
                <c:pt idx="28">
                  <c:v>0.67562003000000004</c:v>
                </c:pt>
                <c:pt idx="29">
                  <c:v>0.67328041000000005</c:v>
                </c:pt>
                <c:pt idx="30">
                  <c:v>0.67060951000000002</c:v>
                </c:pt>
                <c:pt idx="31">
                  <c:v>0.66668338000000005</c:v>
                </c:pt>
                <c:pt idx="32">
                  <c:v>0.66668864999999999</c:v>
                </c:pt>
                <c:pt idx="33">
                  <c:v>0.66682036</c:v>
                </c:pt>
                <c:pt idx="34">
                  <c:v>0.66651488999999997</c:v>
                </c:pt>
                <c:pt idx="35">
                  <c:v>0.66686345000000002</c:v>
                </c:pt>
                <c:pt idx="36">
                  <c:v>0.66661086999999997</c:v>
                </c:pt>
                <c:pt idx="37">
                  <c:v>0.66645894000000006</c:v>
                </c:pt>
                <c:pt idx="38">
                  <c:v>0.66682717999999996</c:v>
                </c:pt>
                <c:pt idx="39">
                  <c:v>0.66682151000000001</c:v>
                </c:pt>
                <c:pt idx="40">
                  <c:v>0.66685987000000002</c:v>
                </c:pt>
                <c:pt idx="41">
                  <c:v>0.66646740999999998</c:v>
                </c:pt>
                <c:pt idx="42">
                  <c:v>0.66656194000000002</c:v>
                </c:pt>
                <c:pt idx="43">
                  <c:v>0.66667799000000005</c:v>
                </c:pt>
                <c:pt idx="44">
                  <c:v>0.66681084000000002</c:v>
                </c:pt>
                <c:pt idx="45">
                  <c:v>0.66647900000000004</c:v>
                </c:pt>
                <c:pt idx="46">
                  <c:v>0.66663331999999997</c:v>
                </c:pt>
                <c:pt idx="47">
                  <c:v>0.66679591999999999</c:v>
                </c:pt>
                <c:pt idx="48">
                  <c:v>0.66648313999999997</c:v>
                </c:pt>
                <c:pt idx="49">
                  <c:v>0.66665635000000001</c:v>
                </c:pt>
                <c:pt idx="50">
                  <c:v>0.66683371999999996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23-3D44-8D80-951247894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806280"/>
        <c:axId val="2086809272"/>
      </c:scatterChart>
      <c:valAx>
        <c:axId val="2086806280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6809272"/>
        <c:crosses val="autoZero"/>
        <c:crossBetween val="midCat"/>
      </c:valAx>
      <c:valAx>
        <c:axId val="208680927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806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nk5k!$H$1:$H$2</c:f>
              <c:strCache>
                <c:ptCount val="2"/>
                <c:pt idx="0">
                  <c:v>h* = 0.25</c:v>
                </c:pt>
                <c:pt idx="1">
                  <c:v>Wie</c:v>
                </c:pt>
              </c:strCache>
            </c:strRef>
          </c:tx>
          <c:marker>
            <c:symbol val="none"/>
          </c:marker>
          <c:xVal>
            <c:numRef>
              <c:f>nk5k!$M$3:$M$53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nk5k!$N$3:$N$53</c:f>
              <c:numCache>
                <c:formatCode>General</c:formatCode>
                <c:ptCount val="51"/>
                <c:pt idx="0">
                  <c:v>0.21363442999999999</c:v>
                </c:pt>
                <c:pt idx="1">
                  <c:v>0.17190064999999999</c:v>
                </c:pt>
                <c:pt idx="2">
                  <c:v>0.13956950000000001</c:v>
                </c:pt>
                <c:pt idx="3">
                  <c:v>0.11078184000000001</c:v>
                </c:pt>
                <c:pt idx="4">
                  <c:v>9.2416564000000007E-2</c:v>
                </c:pt>
                <c:pt idx="5">
                  <c:v>7.8291421999999999E-2</c:v>
                </c:pt>
                <c:pt idx="6">
                  <c:v>6.6045270000000003E-2</c:v>
                </c:pt>
                <c:pt idx="7">
                  <c:v>5.8281756999999997E-2</c:v>
                </c:pt>
                <c:pt idx="8">
                  <c:v>5.2497213000000001E-2</c:v>
                </c:pt>
                <c:pt idx="9">
                  <c:v>4.7979411999999999E-2</c:v>
                </c:pt>
                <c:pt idx="10">
                  <c:v>4.5253656000000003E-2</c:v>
                </c:pt>
                <c:pt idx="11">
                  <c:v>4.3448507999999997E-2</c:v>
                </c:pt>
                <c:pt idx="12">
                  <c:v>4.1706651999999997E-2</c:v>
                </c:pt>
                <c:pt idx="13">
                  <c:v>4.0022613999999998E-2</c:v>
                </c:pt>
                <c:pt idx="14">
                  <c:v>3.8401908999999998E-2</c:v>
                </c:pt>
                <c:pt idx="15">
                  <c:v>3.6852531000000001E-2</c:v>
                </c:pt>
                <c:pt idx="16">
                  <c:v>3.5366870000000002E-2</c:v>
                </c:pt>
                <c:pt idx="17">
                  <c:v>3.3960285999999999E-2</c:v>
                </c:pt>
                <c:pt idx="18">
                  <c:v>3.2622658999999998E-2</c:v>
                </c:pt>
                <c:pt idx="19">
                  <c:v>3.1365283000000001E-2</c:v>
                </c:pt>
                <c:pt idx="20">
                  <c:v>3.0182516999999999E-2</c:v>
                </c:pt>
                <c:pt idx="21">
                  <c:v>2.9078153999999998E-2</c:v>
                </c:pt>
                <c:pt idx="22">
                  <c:v>2.8050069E-2</c:v>
                </c:pt>
                <c:pt idx="23">
                  <c:v>2.7097212999999998E-2</c:v>
                </c:pt>
                <c:pt idx="24">
                  <c:v>2.6218756999999999E-2</c:v>
                </c:pt>
                <c:pt idx="25">
                  <c:v>2.5410821E-2</c:v>
                </c:pt>
                <c:pt idx="26">
                  <c:v>2.4672612E-2</c:v>
                </c:pt>
                <c:pt idx="27">
                  <c:v>2.3998785000000002E-2</c:v>
                </c:pt>
                <c:pt idx="28">
                  <c:v>2.3388150999999999E-2</c:v>
                </c:pt>
                <c:pt idx="29">
                  <c:v>2.2834658000000001E-2</c:v>
                </c:pt>
                <c:pt idx="30">
                  <c:v>2.2336917000000001E-2</c:v>
                </c:pt>
                <c:pt idx="31">
                  <c:v>2.7563856000000001E-2</c:v>
                </c:pt>
                <c:pt idx="32">
                  <c:v>3.4079053999999998E-2</c:v>
                </c:pt>
                <c:pt idx="33">
                  <c:v>4.2206471000000002E-2</c:v>
                </c:pt>
                <c:pt idx="34">
                  <c:v>5.2368933999999999E-2</c:v>
                </c:pt>
                <c:pt idx="35">
                  <c:v>6.5081426999999997E-2</c:v>
                </c:pt>
                <c:pt idx="36">
                  <c:v>8.1028394000000004E-2</c:v>
                </c:pt>
                <c:pt idx="37">
                  <c:v>0.1010356</c:v>
                </c:pt>
                <c:pt idx="38">
                  <c:v>0.12622737000000001</c:v>
                </c:pt>
                <c:pt idx="39">
                  <c:v>0.15796835000000001</c:v>
                </c:pt>
                <c:pt idx="40">
                  <c:v>0.19814472999999999</c:v>
                </c:pt>
                <c:pt idx="41">
                  <c:v>0.24915926999999999</c:v>
                </c:pt>
                <c:pt idx="42">
                  <c:v>0.31435832000000002</c:v>
                </c:pt>
                <c:pt idx="43">
                  <c:v>0.39838466</c:v>
                </c:pt>
                <c:pt idx="44">
                  <c:v>0.50798049000000001</c:v>
                </c:pt>
                <c:pt idx="45">
                  <c:v>0.65360121000000004</c:v>
                </c:pt>
                <c:pt idx="46">
                  <c:v>0.85181565999999997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D2-2D4A-BF48-03931362DAA9}"/>
            </c:ext>
          </c:extLst>
        </c:ser>
        <c:ser>
          <c:idx val="3"/>
          <c:order val="1"/>
          <c:tx>
            <c:strRef>
              <c:f>nk5k!$K$1:$K$2</c:f>
              <c:strCache>
                <c:ptCount val="2"/>
                <c:pt idx="0">
                  <c:v>h* = 0.25</c:v>
                </c:pt>
                <c:pt idx="1">
                  <c:v>etape</c:v>
                </c:pt>
              </c:strCache>
            </c:strRef>
          </c:tx>
          <c:marker>
            <c:symbol val="none"/>
          </c:marker>
          <c:xVal>
            <c:numRef>
              <c:f>nk5k!$A$3:$A$53</c:f>
              <c:numCache>
                <c:formatCode>General</c:formatCode>
                <c:ptCount val="51"/>
                <c:pt idx="0">
                  <c:v>1E-3</c:v>
                </c:pt>
                <c:pt idx="1">
                  <c:v>1.2589249999999999E-3</c:v>
                </c:pt>
                <c:pt idx="2">
                  <c:v>1.584893E-3</c:v>
                </c:pt>
                <c:pt idx="3">
                  <c:v>1.9952619999999998E-3</c:v>
                </c:pt>
                <c:pt idx="4">
                  <c:v>2.5118860000000001E-3</c:v>
                </c:pt>
                <c:pt idx="5">
                  <c:v>3.1622780000000001E-3</c:v>
                </c:pt>
                <c:pt idx="6">
                  <c:v>3.9810720000000004E-3</c:v>
                </c:pt>
                <c:pt idx="7">
                  <c:v>5.0118719999999997E-3</c:v>
                </c:pt>
                <c:pt idx="8">
                  <c:v>6.3095729999999997E-3</c:v>
                </c:pt>
                <c:pt idx="9">
                  <c:v>7.9432819999999994E-3</c:v>
                </c:pt>
                <c:pt idx="10">
                  <c:v>0.01</c:v>
                </c:pt>
                <c:pt idx="11">
                  <c:v>1.2589253999999999E-2</c:v>
                </c:pt>
                <c:pt idx="12">
                  <c:v>1.5848932E-2</c:v>
                </c:pt>
                <c:pt idx="13">
                  <c:v>1.9952622999999999E-2</c:v>
                </c:pt>
                <c:pt idx="14">
                  <c:v>2.5118864000000001E-2</c:v>
                </c:pt>
                <c:pt idx="15">
                  <c:v>3.1622776999999998E-2</c:v>
                </c:pt>
                <c:pt idx="16">
                  <c:v>3.9810717000000002E-2</c:v>
                </c:pt>
                <c:pt idx="17">
                  <c:v>5.0118722999999997E-2</c:v>
                </c:pt>
                <c:pt idx="18">
                  <c:v>6.3095734000000001E-2</c:v>
                </c:pt>
                <c:pt idx="19">
                  <c:v>7.9432823E-2</c:v>
                </c:pt>
                <c:pt idx="20">
                  <c:v>0.1</c:v>
                </c:pt>
                <c:pt idx="21">
                  <c:v>0.125892541</c:v>
                </c:pt>
                <c:pt idx="22">
                  <c:v>0.15848931899999999</c:v>
                </c:pt>
                <c:pt idx="23">
                  <c:v>0.199526231</c:v>
                </c:pt>
                <c:pt idx="24">
                  <c:v>0.25118864299999999</c:v>
                </c:pt>
                <c:pt idx="25">
                  <c:v>0.31622776600000002</c:v>
                </c:pt>
                <c:pt idx="26">
                  <c:v>0.39810717099999998</c:v>
                </c:pt>
                <c:pt idx="27">
                  <c:v>0.50118723399999998</c:v>
                </c:pt>
                <c:pt idx="28">
                  <c:v>0.63095734400000003</c:v>
                </c:pt>
                <c:pt idx="29">
                  <c:v>0.79432823500000005</c:v>
                </c:pt>
                <c:pt idx="30">
                  <c:v>1</c:v>
                </c:pt>
                <c:pt idx="31">
                  <c:v>1.258925412</c:v>
                </c:pt>
                <c:pt idx="32">
                  <c:v>1.584893192</c:v>
                </c:pt>
                <c:pt idx="33">
                  <c:v>1.995262315</c:v>
                </c:pt>
                <c:pt idx="34">
                  <c:v>2.5118864319999998</c:v>
                </c:pt>
                <c:pt idx="35">
                  <c:v>3.16227766</c:v>
                </c:pt>
                <c:pt idx="36">
                  <c:v>3.9810717059999998</c:v>
                </c:pt>
                <c:pt idx="37">
                  <c:v>5.0118723359999997</c:v>
                </c:pt>
                <c:pt idx="38">
                  <c:v>6.3095734449999998</c:v>
                </c:pt>
                <c:pt idx="39">
                  <c:v>7.9432823470000002</c:v>
                </c:pt>
                <c:pt idx="40">
                  <c:v>10</c:v>
                </c:pt>
                <c:pt idx="41">
                  <c:v>12.58925412</c:v>
                </c:pt>
                <c:pt idx="42">
                  <c:v>15.84893192</c:v>
                </c:pt>
                <c:pt idx="43">
                  <c:v>19.952623150000001</c:v>
                </c:pt>
                <c:pt idx="44">
                  <c:v>25.11886432</c:v>
                </c:pt>
                <c:pt idx="45">
                  <c:v>31.622776600000002</c:v>
                </c:pt>
                <c:pt idx="46">
                  <c:v>39.810717060000002</c:v>
                </c:pt>
                <c:pt idx="47">
                  <c:v>50.118723359999997</c:v>
                </c:pt>
                <c:pt idx="48">
                  <c:v>63.095734450000002</c:v>
                </c:pt>
                <c:pt idx="49">
                  <c:v>79.432823470000002</c:v>
                </c:pt>
                <c:pt idx="50">
                  <c:v>100</c:v>
                </c:pt>
              </c:numCache>
            </c:numRef>
          </c:xVal>
          <c:yVal>
            <c:numRef>
              <c:f>nk5k!$B$3:$B$53</c:f>
              <c:numCache>
                <c:formatCode>General</c:formatCode>
                <c:ptCount val="51"/>
                <c:pt idx="1">
                  <c:v>4.3769339</c:v>
                </c:pt>
                <c:pt idx="2">
                  <c:v>3.6890109</c:v>
                </c:pt>
                <c:pt idx="3">
                  <c:v>3.1184267000000001</c:v>
                </c:pt>
                <c:pt idx="4">
                  <c:v>2.6470487999999999</c:v>
                </c:pt>
                <c:pt idx="5">
                  <c:v>2.2599258999999998</c:v>
                </c:pt>
                <c:pt idx="6">
                  <c:v>1.8872716</c:v>
                </c:pt>
                <c:pt idx="7">
                  <c:v>1.636439</c:v>
                </c:pt>
                <c:pt idx="8">
                  <c:v>1.439084</c:v>
                </c:pt>
                <c:pt idx="9">
                  <c:v>1.2518153000000001</c:v>
                </c:pt>
                <c:pt idx="10">
                  <c:v>1.1240399999999999</c:v>
                </c:pt>
                <c:pt idx="11">
                  <c:v>1.0175581</c:v>
                </c:pt>
                <c:pt idx="12">
                  <c:v>0.93264197000000004</c:v>
                </c:pt>
                <c:pt idx="13">
                  <c:v>0.86965634000000003</c:v>
                </c:pt>
                <c:pt idx="14">
                  <c:v>0.82226851999999995</c:v>
                </c:pt>
                <c:pt idx="15">
                  <c:v>0.78596759999999999</c:v>
                </c:pt>
                <c:pt idx="16">
                  <c:v>0.75832241</c:v>
                </c:pt>
                <c:pt idx="17">
                  <c:v>0.73765453000000003</c:v>
                </c:pt>
                <c:pt idx="18">
                  <c:v>0.72239240999999998</c:v>
                </c:pt>
                <c:pt idx="19">
                  <c:v>0.71116235000000005</c:v>
                </c:pt>
                <c:pt idx="20">
                  <c:v>0.70288936999999996</c:v>
                </c:pt>
                <c:pt idx="21">
                  <c:v>0.69677476000000005</c:v>
                </c:pt>
                <c:pt idx="22">
                  <c:v>0.69222618000000002</c:v>
                </c:pt>
                <c:pt idx="23">
                  <c:v>0.68868545999999997</c:v>
                </c:pt>
                <c:pt idx="24">
                  <c:v>0.68559795999999995</c:v>
                </c:pt>
                <c:pt idx="25">
                  <c:v>0.68282432999999998</c:v>
                </c:pt>
                <c:pt idx="26">
                  <c:v>0.68028805000000003</c:v>
                </c:pt>
                <c:pt idx="27">
                  <c:v>0.67791414000000005</c:v>
                </c:pt>
                <c:pt idx="28">
                  <c:v>0.67562003000000004</c:v>
                </c:pt>
                <c:pt idx="29">
                  <c:v>0.67328041000000005</c:v>
                </c:pt>
                <c:pt idx="30">
                  <c:v>0.67060951000000002</c:v>
                </c:pt>
                <c:pt idx="31">
                  <c:v>0.66668338000000005</c:v>
                </c:pt>
                <c:pt idx="32">
                  <c:v>0.66668864999999999</c:v>
                </c:pt>
                <c:pt idx="33">
                  <c:v>0.66682036</c:v>
                </c:pt>
                <c:pt idx="34">
                  <c:v>0.66651488999999997</c:v>
                </c:pt>
                <c:pt idx="35">
                  <c:v>0.66686345000000002</c:v>
                </c:pt>
                <c:pt idx="36">
                  <c:v>0.66661086999999997</c:v>
                </c:pt>
                <c:pt idx="37">
                  <c:v>0.66645894000000006</c:v>
                </c:pt>
                <c:pt idx="38">
                  <c:v>0.66682717999999996</c:v>
                </c:pt>
                <c:pt idx="39">
                  <c:v>0.66682151000000001</c:v>
                </c:pt>
                <c:pt idx="40">
                  <c:v>0.66685987000000002</c:v>
                </c:pt>
                <c:pt idx="41">
                  <c:v>0.66646740999999998</c:v>
                </c:pt>
                <c:pt idx="42">
                  <c:v>0.66656194000000002</c:v>
                </c:pt>
                <c:pt idx="43">
                  <c:v>0.66667799000000005</c:v>
                </c:pt>
                <c:pt idx="44">
                  <c:v>0.66681084000000002</c:v>
                </c:pt>
                <c:pt idx="45">
                  <c:v>0.66647900000000004</c:v>
                </c:pt>
                <c:pt idx="46">
                  <c:v>0.66663331999999997</c:v>
                </c:pt>
                <c:pt idx="47">
                  <c:v>0.66679591999999999</c:v>
                </c:pt>
                <c:pt idx="48">
                  <c:v>0.66648313999999997</c:v>
                </c:pt>
                <c:pt idx="49">
                  <c:v>0.66665635000000001</c:v>
                </c:pt>
                <c:pt idx="50">
                  <c:v>0.66683371999999996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D2-2D4A-BF48-03931362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839544"/>
        <c:axId val="2086842536"/>
      </c:scatterChart>
      <c:valAx>
        <c:axId val="2086839544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6842536"/>
        <c:crosses val="autoZero"/>
        <c:crossBetween val="midCat"/>
      </c:valAx>
      <c:valAx>
        <c:axId val="208684253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839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xVal>
            <c:numRef>
              <c:f>nk11k!$B$12:$B$27</c:f>
              <c:numCache>
                <c:formatCode>General</c:formatCode>
                <c:ptCount val="16"/>
                <c:pt idx="0">
                  <c:v>10.638655462184875</c:v>
                </c:pt>
                <c:pt idx="1">
                  <c:v>14.882773109243697</c:v>
                </c:pt>
                <c:pt idx="2">
                  <c:v>22.355042016806724</c:v>
                </c:pt>
                <c:pt idx="3">
                  <c:v>26.600840336134457</c:v>
                </c:pt>
                <c:pt idx="4">
                  <c:v>36.33634453781513</c:v>
                </c:pt>
                <c:pt idx="5">
                  <c:v>42.77773109243698</c:v>
                </c:pt>
                <c:pt idx="6">
                  <c:v>50.865336134453784</c:v>
                </c:pt>
                <c:pt idx="7">
                  <c:v>60.948319327731092</c:v>
                </c:pt>
                <c:pt idx="8">
                  <c:v>69.097689075630242</c:v>
                </c:pt>
                <c:pt idx="9">
                  <c:v>76.708403361344537</c:v>
                </c:pt>
                <c:pt idx="10">
                  <c:v>86.172268907563037</c:v>
                </c:pt>
                <c:pt idx="11">
                  <c:v>95.55</c:v>
                </c:pt>
                <c:pt idx="12">
                  <c:v>106.71470588235294</c:v>
                </c:pt>
                <c:pt idx="13">
                  <c:v>114.84558823529412</c:v>
                </c:pt>
                <c:pt idx="14">
                  <c:v>123.92184873949581</c:v>
                </c:pt>
                <c:pt idx="15">
                  <c:v>125.52878151260506</c:v>
                </c:pt>
              </c:numCache>
            </c:numRef>
          </c:xVal>
          <c:yVal>
            <c:numRef>
              <c:f>nk11k!$C$12:$C$27</c:f>
              <c:numCache>
                <c:formatCode>General</c:formatCode>
                <c:ptCount val="16"/>
                <c:pt idx="0">
                  <c:v>0.36399999999999999</c:v>
                </c:pt>
                <c:pt idx="1">
                  <c:v>0.28100000000000003</c:v>
                </c:pt>
                <c:pt idx="2">
                  <c:v>0.22900000000000001</c:v>
                </c:pt>
                <c:pt idx="3">
                  <c:v>0.18099999999999999</c:v>
                </c:pt>
                <c:pt idx="4">
                  <c:v>0.14000000000000001</c:v>
                </c:pt>
                <c:pt idx="5">
                  <c:v>0.105</c:v>
                </c:pt>
                <c:pt idx="6">
                  <c:v>8.3000000000000004E-2</c:v>
                </c:pt>
                <c:pt idx="7">
                  <c:v>0.06</c:v>
                </c:pt>
                <c:pt idx="8">
                  <c:v>4.2999999999999997E-2</c:v>
                </c:pt>
                <c:pt idx="9">
                  <c:v>3.3000000000000002E-2</c:v>
                </c:pt>
                <c:pt idx="10">
                  <c:v>2.3E-2</c:v>
                </c:pt>
                <c:pt idx="11">
                  <c:v>1.7000000000000001E-2</c:v>
                </c:pt>
                <c:pt idx="12">
                  <c:v>8.9999999999999993E-3</c:v>
                </c:pt>
                <c:pt idx="13">
                  <c:v>5.0000000000000001E-3</c:v>
                </c:pt>
                <c:pt idx="14">
                  <c:v>2E-3</c:v>
                </c:pt>
                <c:pt idx="15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9-3F4E-9F7C-925EE3890A6D}"/>
            </c:ext>
          </c:extLst>
        </c:ser>
        <c:ser>
          <c:idx val="1"/>
          <c:order val="1"/>
          <c:spPr>
            <a:ln w="47625">
              <a:noFill/>
            </a:ln>
          </c:spPr>
          <c:xVal>
            <c:numRef>
              <c:f>nk11k!$F$12:$F$194</c:f>
              <c:numCache>
                <c:formatCode>0.00E+00</c:formatCode>
                <c:ptCount val="183"/>
                <c:pt idx="0">
                  <c:v>0</c:v>
                </c:pt>
                <c:pt idx="1">
                  <c:v>7.7732785999999998E-2</c:v>
                </c:pt>
                <c:pt idx="2">
                  <c:v>0.15204469000000001</c:v>
                </c:pt>
                <c:pt idx="3">
                  <c:v>0.22307885</c:v>
                </c:pt>
                <c:pt idx="4">
                  <c:v>0.29098102999999997</c:v>
                </c:pt>
                <c:pt idx="5">
                  <c:v>0.35589778</c:v>
                </c:pt>
                <c:pt idx="6">
                  <c:v>0.41797516000000001</c:v>
                </c:pt>
                <c:pt idx="7">
                  <c:v>0.47735782999999998</c:v>
                </c:pt>
                <c:pt idx="8">
                  <c:v>0.53418867000000003</c:v>
                </c:pt>
                <c:pt idx="9">
                  <c:v>0.58860864000000002</c:v>
                </c:pt>
                <c:pt idx="10">
                  <c:v>0.64075707000000004</c:v>
                </c:pt>
                <c:pt idx="11">
                  <c:v>0.69077244999999998</c:v>
                </c:pt>
                <c:pt idx="12">
                  <c:v>0.73879371999999999</c:v>
                </c:pt>
                <c:pt idx="13">
                  <c:v>0.78496242999999999</c:v>
                </c:pt>
                <c:pt idx="14">
                  <c:v>0.82942621999999999</c:v>
                </c:pt>
                <c:pt idx="15">
                  <c:v>0.87234409999999996</c:v>
                </c:pt>
                <c:pt idx="16">
                  <c:v>0.91389476999999997</c:v>
                </c:pt>
                <c:pt idx="17">
                  <c:v>0.95428961999999995</c:v>
                </c:pt>
                <c:pt idx="18">
                  <c:v>0.99379293000000002</c:v>
                </c:pt>
                <c:pt idx="19">
                  <c:v>1.0327539999999999</c:v>
                </c:pt>
                <c:pt idx="20">
                  <c:v>1.0716603</c:v>
                </c:pt>
                <c:pt idx="21">
                  <c:v>1.1112294</c:v>
                </c:pt>
                <c:pt idx="22">
                  <c:v>1.1525875000000001</c:v>
                </c:pt>
                <c:pt idx="23">
                  <c:v>1.1976597</c:v>
                </c:pt>
                <c:pt idx="24">
                  <c:v>1.2501930000000001</c:v>
                </c:pt>
                <c:pt idx="25">
                  <c:v>1.3192200000000001</c:v>
                </c:pt>
                <c:pt idx="26">
                  <c:v>1.4369516</c:v>
                </c:pt>
                <c:pt idx="27">
                  <c:v>1.7741745</c:v>
                </c:pt>
                <c:pt idx="28">
                  <c:v>2.3313571</c:v>
                </c:pt>
                <c:pt idx="29">
                  <c:v>2.9033071000000001</c:v>
                </c:pt>
                <c:pt idx="30">
                  <c:v>3.4825279</c:v>
                </c:pt>
                <c:pt idx="31">
                  <c:v>4.0688497999999997</c:v>
                </c:pt>
                <c:pt idx="32">
                  <c:v>4.6621652999999998</c:v>
                </c:pt>
                <c:pt idx="33">
                  <c:v>5.2623997999999998</c:v>
                </c:pt>
                <c:pt idx="34">
                  <c:v>5.8695022000000003</c:v>
                </c:pt>
                <c:pt idx="35">
                  <c:v>6.4834388000000001</c:v>
                </c:pt>
                <c:pt idx="36">
                  <c:v>7.1041878000000001</c:v>
                </c:pt>
                <c:pt idx="37">
                  <c:v>7.7317358</c:v>
                </c:pt>
                <c:pt idx="38">
                  <c:v>8.3660748999999992</c:v>
                </c:pt>
                <c:pt idx="39">
                  <c:v>9.0072005999999991</c:v>
                </c:pt>
                <c:pt idx="40">
                  <c:v>9.6551100999999999</c:v>
                </c:pt>
                <c:pt idx="41">
                  <c:v>10.309801</c:v>
                </c:pt>
                <c:pt idx="42">
                  <c:v>10.971272000000001</c:v>
                </c:pt>
                <c:pt idx="43">
                  <c:v>11.639517</c:v>
                </c:pt>
                <c:pt idx="44">
                  <c:v>12.314532</c:v>
                </c:pt>
                <c:pt idx="45">
                  <c:v>12.996309999999999</c:v>
                </c:pt>
                <c:pt idx="46">
                  <c:v>13.684839</c:v>
                </c:pt>
                <c:pt idx="47">
                  <c:v>14.380108</c:v>
                </c:pt>
                <c:pt idx="48">
                  <c:v>15.082100000000001</c:v>
                </c:pt>
                <c:pt idx="49">
                  <c:v>15.790796</c:v>
                </c:pt>
                <c:pt idx="50">
                  <c:v>16.506173</c:v>
                </c:pt>
                <c:pt idx="51">
                  <c:v>17.228206</c:v>
                </c:pt>
                <c:pt idx="52">
                  <c:v>17.956865000000001</c:v>
                </c:pt>
                <c:pt idx="53">
                  <c:v>18.692115000000001</c:v>
                </c:pt>
                <c:pt idx="54">
                  <c:v>19.433920000000001</c:v>
                </c:pt>
                <c:pt idx="55">
                  <c:v>20.182237000000001</c:v>
                </c:pt>
                <c:pt idx="56">
                  <c:v>20.937021999999999</c:v>
                </c:pt>
                <c:pt idx="57">
                  <c:v>21.698222999999999</c:v>
                </c:pt>
                <c:pt idx="58">
                  <c:v>22.465788</c:v>
                </c:pt>
                <c:pt idx="59">
                  <c:v>23.239656</c:v>
                </c:pt>
                <c:pt idx="60">
                  <c:v>24.019765</c:v>
                </c:pt>
                <c:pt idx="61">
                  <c:v>24.806048000000001</c:v>
                </c:pt>
                <c:pt idx="62">
                  <c:v>25.598431000000001</c:v>
                </c:pt>
                <c:pt idx="63">
                  <c:v>26.396837999999999</c:v>
                </c:pt>
                <c:pt idx="64">
                  <c:v>27.201187000000001</c:v>
                </c:pt>
                <c:pt idx="65">
                  <c:v>28.011389999999999</c:v>
                </c:pt>
                <c:pt idx="66">
                  <c:v>28.827356000000002</c:v>
                </c:pt>
                <c:pt idx="67">
                  <c:v>29.648987999999999</c:v>
                </c:pt>
                <c:pt idx="68">
                  <c:v>30.476182999999999</c:v>
                </c:pt>
                <c:pt idx="69">
                  <c:v>31.308834000000001</c:v>
                </c:pt>
                <c:pt idx="70">
                  <c:v>32.146828999999997</c:v>
                </c:pt>
                <c:pt idx="71">
                  <c:v>32.990049999999997</c:v>
                </c:pt>
                <c:pt idx="72">
                  <c:v>33.838372</c:v>
                </c:pt>
                <c:pt idx="73">
                  <c:v>34.691665999999998</c:v>
                </c:pt>
                <c:pt idx="74">
                  <c:v>35.549798000000003</c:v>
                </c:pt>
                <c:pt idx="75">
                  <c:v>36.412627000000001</c:v>
                </c:pt>
                <c:pt idx="76">
                  <c:v>37.280006999999998</c:v>
                </c:pt>
                <c:pt idx="77">
                  <c:v>38.151784999999997</c:v>
                </c:pt>
                <c:pt idx="78">
                  <c:v>39.027802999999999</c:v>
                </c:pt>
                <c:pt idx="79">
                  <c:v>39.907896000000001</c:v>
                </c:pt>
                <c:pt idx="80">
                  <c:v>40.791893999999999</c:v>
                </c:pt>
                <c:pt idx="81">
                  <c:v>41.67962</c:v>
                </c:pt>
                <c:pt idx="82">
                  <c:v>42.570889999999999</c:v>
                </c:pt>
                <c:pt idx="83">
                  <c:v>43.465515000000003</c:v>
                </c:pt>
                <c:pt idx="84">
                  <c:v>44.363298999999998</c:v>
                </c:pt>
                <c:pt idx="85">
                  <c:v>45.264040000000001</c:v>
                </c:pt>
                <c:pt idx="86">
                  <c:v>46.167527</c:v>
                </c:pt>
                <c:pt idx="87">
                  <c:v>47.073543999999998</c:v>
                </c:pt>
                <c:pt idx="88">
                  <c:v>47.981869000000003</c:v>
                </c:pt>
                <c:pt idx="89">
                  <c:v>48.892271000000001</c:v>
                </c:pt>
                <c:pt idx="90">
                  <c:v>49.804513999999998</c:v>
                </c:pt>
                <c:pt idx="91">
                  <c:v>50.718355000000003</c:v>
                </c:pt>
                <c:pt idx="92">
                  <c:v>51.633541000000001</c:v>
                </c:pt>
                <c:pt idx="93">
                  <c:v>52.549816999999997</c:v>
                </c:pt>
                <c:pt idx="94">
                  <c:v>53.466915</c:v>
                </c:pt>
                <c:pt idx="95">
                  <c:v>54.384565000000002</c:v>
                </c:pt>
                <c:pt idx="96">
                  <c:v>55.302486999999999</c:v>
                </c:pt>
                <c:pt idx="97">
                  <c:v>56.220393999999999</c:v>
                </c:pt>
                <c:pt idx="98">
                  <c:v>57.137994999999997</c:v>
                </c:pt>
                <c:pt idx="99">
                  <c:v>58.054986999999997</c:v>
                </c:pt>
                <c:pt idx="100">
                  <c:v>58.971065000000003</c:v>
                </c:pt>
                <c:pt idx="101">
                  <c:v>59.885913000000002</c:v>
                </c:pt>
                <c:pt idx="102">
                  <c:v>60.799211</c:v>
                </c:pt>
                <c:pt idx="103">
                  <c:v>61.710631999999997</c:v>
                </c:pt>
                <c:pt idx="104">
                  <c:v>62.619843000000003</c:v>
                </c:pt>
                <c:pt idx="105">
                  <c:v>63.526502000000001</c:v>
                </c:pt>
                <c:pt idx="106">
                  <c:v>64.430265000000006</c:v>
                </c:pt>
                <c:pt idx="107">
                  <c:v>65.330781000000002</c:v>
                </c:pt>
                <c:pt idx="108">
                  <c:v>66.227692000000005</c:v>
                </c:pt>
                <c:pt idx="109">
                  <c:v>67.120638</c:v>
                </c:pt>
                <c:pt idx="110">
                  <c:v>68.009252000000004</c:v>
                </c:pt>
                <c:pt idx="111">
                  <c:v>68.893164999999996</c:v>
                </c:pt>
                <c:pt idx="112">
                  <c:v>69.772003999999995</c:v>
                </c:pt>
                <c:pt idx="113">
                  <c:v>70.645391000000004</c:v>
                </c:pt>
                <c:pt idx="114">
                  <c:v>71.512949000000006</c:v>
                </c:pt>
                <c:pt idx="115">
                  <c:v>72.374297999999996</c:v>
                </c:pt>
                <c:pt idx="116">
                  <c:v>73.229056999999997</c:v>
                </c:pt>
                <c:pt idx="117">
                  <c:v>74.076843999999994</c:v>
                </c:pt>
                <c:pt idx="118">
                  <c:v>74.917277999999996</c:v>
                </c:pt>
                <c:pt idx="119">
                  <c:v>75.749981000000005</c:v>
                </c:pt>
                <c:pt idx="120">
                  <c:v>76.574577000000005</c:v>
                </c:pt>
                <c:pt idx="121">
                  <c:v>77.390691000000004</c:v>
                </c:pt>
                <c:pt idx="122">
                  <c:v>78.197956000000005</c:v>
                </c:pt>
                <c:pt idx="123">
                  <c:v>78.996008000000003</c:v>
                </c:pt>
                <c:pt idx="124">
                  <c:v>79.784488999999994</c:v>
                </c:pt>
                <c:pt idx="125">
                  <c:v>80.563050000000004</c:v>
                </c:pt>
                <c:pt idx="126">
                  <c:v>81.331350999999998</c:v>
                </c:pt>
                <c:pt idx="127">
                  <c:v>82.089060000000003</c:v>
                </c:pt>
                <c:pt idx="128">
                  <c:v>82.835856000000007</c:v>
                </c:pt>
                <c:pt idx="129">
                  <c:v>83.571431000000004</c:v>
                </c:pt>
                <c:pt idx="130">
                  <c:v>84.295489000000003</c:v>
                </c:pt>
                <c:pt idx="131">
                  <c:v>85.007749000000004</c:v>
                </c:pt>
                <c:pt idx="132">
                  <c:v>85.707943</c:v>
                </c:pt>
                <c:pt idx="133">
                  <c:v>86.395820000000001</c:v>
                </c:pt>
                <c:pt idx="134">
                  <c:v>87.071145999999999</c:v>
                </c:pt>
                <c:pt idx="135">
                  <c:v>87.733705</c:v>
                </c:pt>
                <c:pt idx="136">
                  <c:v>88.383297999999996</c:v>
                </c:pt>
                <c:pt idx="137">
                  <c:v>89.019745999999998</c:v>
                </c:pt>
                <c:pt idx="138">
                  <c:v>89.642889999999994</c:v>
                </c:pt>
                <c:pt idx="139">
                  <c:v>90.252589999999998</c:v>
                </c:pt>
                <c:pt idx="140">
                  <c:v>90.848729000000006</c:v>
                </c:pt>
                <c:pt idx="141">
                  <c:v>91.431207999999998</c:v>
                </c:pt>
                <c:pt idx="142">
                  <c:v>91.999950999999996</c:v>
                </c:pt>
                <c:pt idx="143">
                  <c:v>92.554902999999996</c:v>
                </c:pt>
                <c:pt idx="144">
                  <c:v>93.096029000000001</c:v>
                </c:pt>
                <c:pt idx="145">
                  <c:v>93.623317</c:v>
                </c:pt>
                <c:pt idx="146">
                  <c:v>94.136774000000003</c:v>
                </c:pt>
                <c:pt idx="147">
                  <c:v>94.636430000000004</c:v>
                </c:pt>
                <c:pt idx="148">
                  <c:v>95.122332999999998</c:v>
                </c:pt>
                <c:pt idx="149">
                  <c:v>95.594550999999996</c:v>
                </c:pt>
                <c:pt idx="150">
                  <c:v>96.053171000000006</c:v>
                </c:pt>
                <c:pt idx="151">
                  <c:v>96.4983</c:v>
                </c:pt>
                <c:pt idx="152">
                  <c:v>96.930059999999997</c:v>
                </c:pt>
                <c:pt idx="153">
                  <c:v>97.348592999999994</c:v>
                </c:pt>
                <c:pt idx="154">
                  <c:v>97.754052000000001</c:v>
                </c:pt>
                <c:pt idx="155">
                  <c:v>98.146609999999995</c:v>
                </c:pt>
                <c:pt idx="156">
                  <c:v>98.526450999999994</c:v>
                </c:pt>
                <c:pt idx="157">
                  <c:v>98.893772999999996</c:v>
                </c:pt>
                <c:pt idx="158">
                  <c:v>99.248785999999996</c:v>
                </c:pt>
                <c:pt idx="159">
                  <c:v>99.591708999999994</c:v>
                </c:pt>
                <c:pt idx="160">
                  <c:v>99.922774000000004</c:v>
                </c:pt>
                <c:pt idx="161">
                  <c:v>100.24222</c:v>
                </c:pt>
                <c:pt idx="162">
                  <c:v>100.55029</c:v>
                </c:pt>
                <c:pt idx="163">
                  <c:v>100.84725</c:v>
                </c:pt>
                <c:pt idx="164">
                  <c:v>101.13334</c:v>
                </c:pt>
                <c:pt idx="165">
                  <c:v>101.40884</c:v>
                </c:pt>
                <c:pt idx="166">
                  <c:v>101.67401</c:v>
                </c:pt>
                <c:pt idx="167">
                  <c:v>101.92912</c:v>
                </c:pt>
                <c:pt idx="168">
                  <c:v>102.17444</c:v>
                </c:pt>
                <c:pt idx="169">
                  <c:v>102.41025999999999</c:v>
                </c:pt>
                <c:pt idx="170">
                  <c:v>102.63684000000001</c:v>
                </c:pt>
                <c:pt idx="171">
                  <c:v>102.85445</c:v>
                </c:pt>
                <c:pt idx="172">
                  <c:v>103.06338</c:v>
                </c:pt>
                <c:pt idx="173">
                  <c:v>103.26388</c:v>
                </c:pt>
                <c:pt idx="174">
                  <c:v>103.45623999999999</c:v>
                </c:pt>
                <c:pt idx="175">
                  <c:v>103.64071</c:v>
                </c:pt>
                <c:pt idx="176">
                  <c:v>103.81756</c:v>
                </c:pt>
                <c:pt idx="177">
                  <c:v>103.98703999999999</c:v>
                </c:pt>
                <c:pt idx="178">
                  <c:v>104.14942000000001</c:v>
                </c:pt>
                <c:pt idx="179">
                  <c:v>104.30494</c:v>
                </c:pt>
                <c:pt idx="180">
                  <c:v>104.45385</c:v>
                </c:pt>
                <c:pt idx="181">
                  <c:v>104.59639</c:v>
                </c:pt>
                <c:pt idx="182">
                  <c:v>104.7328</c:v>
                </c:pt>
              </c:numCache>
            </c:numRef>
          </c:xVal>
          <c:yVal>
            <c:numRef>
              <c:f>nk11k!$E$12:$E$194</c:f>
              <c:numCache>
                <c:formatCode>0.00E+00</c:formatCode>
                <c:ptCount val="183"/>
                <c:pt idx="0">
                  <c:v>1</c:v>
                </c:pt>
                <c:pt idx="1">
                  <c:v>0.95122941999999999</c:v>
                </c:pt>
                <c:pt idx="2">
                  <c:v>0.90483742</c:v>
                </c:pt>
                <c:pt idx="3">
                  <c:v>0.86070798000000004</c:v>
                </c:pt>
                <c:pt idx="4">
                  <c:v>0.81873074999999995</c:v>
                </c:pt>
                <c:pt idx="5">
                  <c:v>0.77880077999999997</c:v>
                </c:pt>
                <c:pt idx="6">
                  <c:v>0.74081821999999997</c:v>
                </c:pt>
                <c:pt idx="7">
                  <c:v>0.70468808999999999</c:v>
                </c:pt>
                <c:pt idx="8">
                  <c:v>0.67032004999999995</c:v>
                </c:pt>
                <c:pt idx="9">
                  <c:v>0.63762814999999995</c:v>
                </c:pt>
                <c:pt idx="10">
                  <c:v>0.60653066</c:v>
                </c:pt>
                <c:pt idx="11">
                  <c:v>0.57694981000000001</c:v>
                </c:pt>
                <c:pt idx="12">
                  <c:v>0.54881164000000004</c:v>
                </c:pt>
                <c:pt idx="13">
                  <c:v>0.52204578000000001</c:v>
                </c:pt>
                <c:pt idx="14">
                  <c:v>0.49658530000000001</c:v>
                </c:pt>
                <c:pt idx="15">
                  <c:v>0.47236655</c:v>
                </c:pt>
                <c:pt idx="16">
                  <c:v>0.44932896</c:v>
                </c:pt>
                <c:pt idx="17">
                  <c:v>0.42741493000000003</c:v>
                </c:pt>
                <c:pt idx="18">
                  <c:v>0.40656966</c:v>
                </c:pt>
                <c:pt idx="19">
                  <c:v>0.38674101999999999</c:v>
                </c:pt>
                <c:pt idx="20">
                  <c:v>0.36787944</c:v>
                </c:pt>
                <c:pt idx="21">
                  <c:v>0.34993774999999999</c:v>
                </c:pt>
                <c:pt idx="22">
                  <c:v>0.33287107999999999</c:v>
                </c:pt>
                <c:pt idx="23">
                  <c:v>0.31663677000000001</c:v>
                </c:pt>
                <c:pt idx="24">
                  <c:v>0.30119421000000002</c:v>
                </c:pt>
                <c:pt idx="25">
                  <c:v>0.2865048</c:v>
                </c:pt>
                <c:pt idx="26">
                  <c:v>0.27253179</c:v>
                </c:pt>
                <c:pt idx="27">
                  <c:v>0.25924026</c:v>
                </c:pt>
                <c:pt idx="28">
                  <c:v>0.24659696</c:v>
                </c:pt>
                <c:pt idx="29">
                  <c:v>0.23457028999999999</c:v>
                </c:pt>
                <c:pt idx="30">
                  <c:v>0.22313015999999999</c:v>
                </c:pt>
                <c:pt idx="31">
                  <c:v>0.21224797000000001</c:v>
                </c:pt>
                <c:pt idx="32">
                  <c:v>0.20189652</c:v>
                </c:pt>
                <c:pt idx="33">
                  <c:v>0.19204990999999999</c:v>
                </c:pt>
                <c:pt idx="34">
                  <c:v>0.18268351999999999</c:v>
                </c:pt>
                <c:pt idx="35">
                  <c:v>0.17377393999999999</c:v>
                </c:pt>
                <c:pt idx="36">
                  <c:v>0.16529889</c:v>
                </c:pt>
                <c:pt idx="37">
                  <c:v>0.15723717000000001</c:v>
                </c:pt>
                <c:pt idx="38">
                  <c:v>0.14956862000000001</c:v>
                </c:pt>
                <c:pt idx="39">
                  <c:v>0.14227407</c:v>
                </c:pt>
                <c:pt idx="40">
                  <c:v>0.13533528</c:v>
                </c:pt>
                <c:pt idx="41">
                  <c:v>0.12873490000000001</c:v>
                </c:pt>
                <c:pt idx="42">
                  <c:v>0.12245643</c:v>
                </c:pt>
                <c:pt idx="43">
                  <c:v>0.11648416</c:v>
                </c:pt>
                <c:pt idx="44">
                  <c:v>0.11080316</c:v>
                </c:pt>
                <c:pt idx="45">
                  <c:v>0.10539922</c:v>
                </c:pt>
                <c:pt idx="46">
                  <c:v>0.10025884</c:v>
                </c:pt>
                <c:pt idx="47">
                  <c:v>9.5369161999999993E-2</c:v>
                </c:pt>
                <c:pt idx="48">
                  <c:v>9.0717953000000004E-2</c:v>
                </c:pt>
                <c:pt idx="49">
                  <c:v>8.6293586000000005E-2</c:v>
                </c:pt>
                <c:pt idx="50">
                  <c:v>8.2084999000000006E-2</c:v>
                </c:pt>
                <c:pt idx="51">
                  <c:v>7.8081665999999994E-2</c:v>
                </c:pt>
                <c:pt idx="52">
                  <c:v>7.4273578000000007E-2</c:v>
                </c:pt>
                <c:pt idx="53">
                  <c:v>7.0651213000000004E-2</c:v>
                </c:pt>
                <c:pt idx="54">
                  <c:v>6.7205512999999995E-2</c:v>
                </c:pt>
                <c:pt idx="55">
                  <c:v>6.3927861000000002E-2</c:v>
                </c:pt>
                <c:pt idx="56">
                  <c:v>6.0810062999999998E-2</c:v>
                </c:pt>
                <c:pt idx="57">
                  <c:v>5.7844320999999997E-2</c:v>
                </c:pt>
                <c:pt idx="58">
                  <c:v>5.5023219999999998E-2</c:v>
                </c:pt>
                <c:pt idx="59">
                  <c:v>5.2339706E-2</c:v>
                </c:pt>
                <c:pt idx="60">
                  <c:v>4.9787067999999997E-2</c:v>
                </c:pt>
                <c:pt idx="61">
                  <c:v>4.7358923999999997E-2</c:v>
                </c:pt>
                <c:pt idx="62">
                  <c:v>4.5049202000000003E-2</c:v>
                </c:pt>
                <c:pt idx="63">
                  <c:v>4.2852126999999997E-2</c:v>
                </c:pt>
                <c:pt idx="64">
                  <c:v>4.0762204000000003E-2</c:v>
                </c:pt>
                <c:pt idx="65">
                  <c:v>3.8774207999999998E-2</c:v>
                </c:pt>
                <c:pt idx="66">
                  <c:v>3.6883167000000001E-2</c:v>
                </c:pt>
                <c:pt idx="67">
                  <c:v>3.5084353999999998E-2</c:v>
                </c:pt>
                <c:pt idx="68">
                  <c:v>3.3373269999999997E-2</c:v>
                </c:pt>
                <c:pt idx="69">
                  <c:v>3.1745636000000001E-2</c:v>
                </c:pt>
                <c:pt idx="70">
                  <c:v>3.0197383000000001E-2</c:v>
                </c:pt>
                <c:pt idx="71">
                  <c:v>2.8724639999999999E-2</c:v>
                </c:pt>
                <c:pt idx="72">
                  <c:v>2.7323722000000002E-2</c:v>
                </c:pt>
                <c:pt idx="73">
                  <c:v>2.5991129000000002E-2</c:v>
                </c:pt>
                <c:pt idx="74">
                  <c:v>2.4723525999999999E-2</c:v>
                </c:pt>
                <c:pt idx="75">
                  <c:v>2.3517745999999999E-2</c:v>
                </c:pt>
                <c:pt idx="76">
                  <c:v>2.2370772000000001E-2</c:v>
                </c:pt>
                <c:pt idx="77">
                  <c:v>2.1279736E-2</c:v>
                </c:pt>
                <c:pt idx="78">
                  <c:v>2.0241911000000001E-2</c:v>
                </c:pt>
                <c:pt idx="79">
                  <c:v>1.9254701999999999E-2</c:v>
                </c:pt>
                <c:pt idx="80">
                  <c:v>1.8315639000000002E-2</c:v>
                </c:pt>
                <c:pt idx="81">
                  <c:v>1.7422375E-2</c:v>
                </c:pt>
                <c:pt idx="82">
                  <c:v>1.6572674999999999E-2</c:v>
                </c:pt>
                <c:pt idx="83">
                  <c:v>1.5764416E-2</c:v>
                </c:pt>
                <c:pt idx="84">
                  <c:v>1.4995577E-2</c:v>
                </c:pt>
                <c:pt idx="85">
                  <c:v>1.4264234000000001E-2</c:v>
                </c:pt>
                <c:pt idx="86">
                  <c:v>1.3568558999999999E-2</c:v>
                </c:pt>
                <c:pt idx="87">
                  <c:v>1.2906813E-2</c:v>
                </c:pt>
                <c:pt idx="88">
                  <c:v>1.2277339999999999E-2</c:v>
                </c:pt>
                <c:pt idx="89">
                  <c:v>1.1678567000000001E-2</c:v>
                </c:pt>
                <c:pt idx="90">
                  <c:v>1.1108997000000001E-2</c:v>
                </c:pt>
                <c:pt idx="91">
                  <c:v>1.0567204E-2</c:v>
                </c:pt>
                <c:pt idx="92">
                  <c:v>1.0051836E-2</c:v>
                </c:pt>
                <c:pt idx="93">
                  <c:v>9.5616018999999993E-3</c:v>
                </c:pt>
                <c:pt idx="94">
                  <c:v>9.0952771000000002E-3</c:v>
                </c:pt>
                <c:pt idx="95">
                  <c:v>8.6516952000000001E-3</c:v>
                </c:pt>
                <c:pt idx="96">
                  <c:v>8.2297470000000008E-3</c:v>
                </c:pt>
                <c:pt idx="97">
                  <c:v>7.8283775000000007E-3</c:v>
                </c:pt>
                <c:pt idx="98">
                  <c:v>7.4465831000000001E-3</c:v>
                </c:pt>
                <c:pt idx="99">
                  <c:v>7.0834089000000001E-3</c:v>
                </c:pt>
                <c:pt idx="100">
                  <c:v>6.7379470000000002E-3</c:v>
                </c:pt>
                <c:pt idx="101">
                  <c:v>6.4093333999999998E-3</c:v>
                </c:pt>
                <c:pt idx="102">
                  <c:v>6.0967466000000003E-3</c:v>
                </c:pt>
                <c:pt idx="103">
                  <c:v>5.7994047E-3</c:v>
                </c:pt>
                <c:pt idx="104">
                  <c:v>5.5165644E-3</c:v>
                </c:pt>
                <c:pt idx="105">
                  <c:v>5.2475183999999998E-3</c:v>
                </c:pt>
                <c:pt idx="106">
                  <c:v>4.9915938999999998E-3</c:v>
                </c:pt>
                <c:pt idx="107">
                  <c:v>4.7481509999999999E-3</c:v>
                </c:pt>
                <c:pt idx="108">
                  <c:v>4.5165808999999999E-3</c:v>
                </c:pt>
                <c:pt idx="109">
                  <c:v>4.2963046999999997E-3</c:v>
                </c:pt>
                <c:pt idx="110">
                  <c:v>4.0867713999999996E-3</c:v>
                </c:pt>
                <c:pt idx="111">
                  <c:v>3.8874572E-3</c:v>
                </c:pt>
                <c:pt idx="112">
                  <c:v>3.6978636999999998E-3</c:v>
                </c:pt>
                <c:pt idx="113">
                  <c:v>3.5175167999999999E-3</c:v>
                </c:pt>
                <c:pt idx="114">
                  <c:v>3.3459655E-3</c:v>
                </c:pt>
                <c:pt idx="115">
                  <c:v>3.1827807999999999E-3</c:v>
                </c:pt>
                <c:pt idx="116">
                  <c:v>3.0275546999999998E-3</c:v>
                </c:pt>
                <c:pt idx="117">
                  <c:v>2.8798992000000001E-3</c:v>
                </c:pt>
                <c:pt idx="118">
                  <c:v>2.7394448E-3</c:v>
                </c:pt>
                <c:pt idx="119">
                  <c:v>2.6058405000000001E-3</c:v>
                </c:pt>
                <c:pt idx="120">
                  <c:v>2.4787521999999999E-3</c:v>
                </c:pt>
                <c:pt idx="121">
                  <c:v>2.3578620000000001E-3</c:v>
                </c:pt>
                <c:pt idx="122">
                  <c:v>2.2428677000000002E-3</c:v>
                </c:pt>
                <c:pt idx="123">
                  <c:v>2.1334817999999998E-3</c:v>
                </c:pt>
                <c:pt idx="124">
                  <c:v>2.0294305999999998E-3</c:v>
                </c:pt>
                <c:pt idx="125">
                  <c:v>1.9304541000000001E-3</c:v>
                </c:pt>
                <c:pt idx="126">
                  <c:v>1.8363048E-3</c:v>
                </c:pt>
                <c:pt idx="127">
                  <c:v>1.7467470999999999E-3</c:v>
                </c:pt>
                <c:pt idx="128">
                  <c:v>1.6615573E-3</c:v>
                </c:pt>
                <c:pt idx="129">
                  <c:v>1.5805222000000001E-3</c:v>
                </c:pt>
                <c:pt idx="130">
                  <c:v>1.5034391999999999E-3</c:v>
                </c:pt>
                <c:pt idx="131">
                  <c:v>1.4301156E-3</c:v>
                </c:pt>
                <c:pt idx="132">
                  <c:v>1.360368E-3</c:v>
                </c:pt>
                <c:pt idx="133">
                  <c:v>1.2940221E-3</c:v>
                </c:pt>
                <c:pt idx="134">
                  <c:v>1.2309119E-3</c:v>
                </c:pt>
                <c:pt idx="135">
                  <c:v>1.1708796000000001E-3</c:v>
                </c:pt>
                <c:pt idx="136">
                  <c:v>1.1137751E-3</c:v>
                </c:pt>
                <c:pt idx="137">
                  <c:v>1.0594557E-3</c:v>
                </c:pt>
                <c:pt idx="138">
                  <c:v>1.0077853999999999E-3</c:v>
                </c:pt>
                <c:pt idx="139">
                  <c:v>9.5863515000000005E-4</c:v>
                </c:pt>
                <c:pt idx="140">
                  <c:v>9.1188197000000005E-4</c:v>
                </c:pt>
                <c:pt idx="141">
                  <c:v>8.6740896000000003E-4</c:v>
                </c:pt>
                <c:pt idx="142">
                  <c:v>8.2510492000000002E-4</c:v>
                </c:pt>
                <c:pt idx="143">
                  <c:v>7.8486408000000003E-4</c:v>
                </c:pt>
                <c:pt idx="144">
                  <c:v>7.4658581000000004E-4</c:v>
                </c:pt>
                <c:pt idx="145">
                  <c:v>7.1017439000000001E-4</c:v>
                </c:pt>
                <c:pt idx="146">
                  <c:v>6.7553877999999997E-4</c:v>
                </c:pt>
                <c:pt idx="147">
                  <c:v>6.4259235999999996E-4</c:v>
                </c:pt>
                <c:pt idx="148">
                  <c:v>6.1125275999999995E-4</c:v>
                </c:pt>
                <c:pt idx="149">
                  <c:v>5.8144160999999998E-4</c:v>
                </c:pt>
                <c:pt idx="150">
                  <c:v>5.5308436999999995E-4</c:v>
                </c:pt>
                <c:pt idx="151">
                  <c:v>5.2611013000000001E-4</c:v>
                </c:pt>
                <c:pt idx="152">
                  <c:v>5.0045142999999997E-4</c:v>
                </c:pt>
                <c:pt idx="153">
                  <c:v>4.7604412999999998E-4</c:v>
                </c:pt>
                <c:pt idx="154">
                  <c:v>4.5282717999999998E-4</c:v>
                </c:pt>
                <c:pt idx="155">
                  <c:v>4.3074253999999997E-4</c:v>
                </c:pt>
                <c:pt idx="156">
                  <c:v>4.0973498000000002E-4</c:v>
                </c:pt>
                <c:pt idx="157">
                  <c:v>3.8975197E-4</c:v>
                </c:pt>
                <c:pt idx="158">
                  <c:v>3.7074353999999999E-4</c:v>
                </c:pt>
                <c:pt idx="159">
                  <c:v>3.5266216000000002E-4</c:v>
                </c:pt>
                <c:pt idx="160">
                  <c:v>3.3546263E-4</c:v>
                </c:pt>
                <c:pt idx="161">
                  <c:v>3.1910191999999998E-4</c:v>
                </c:pt>
                <c:pt idx="162">
                  <c:v>3.0353914000000001E-4</c:v>
                </c:pt>
                <c:pt idx="163">
                  <c:v>2.8873536E-4</c:v>
                </c:pt>
                <c:pt idx="164">
                  <c:v>2.7465356999999997E-4</c:v>
                </c:pt>
                <c:pt idx="165">
                  <c:v>2.6125855999999998E-4</c:v>
                </c:pt>
                <c:pt idx="166">
                  <c:v>2.4851682999999999E-4</c:v>
                </c:pt>
                <c:pt idx="167">
                  <c:v>2.3639652E-4</c:v>
                </c:pt>
                <c:pt idx="168">
                  <c:v>2.2486732000000001E-4</c:v>
                </c:pt>
                <c:pt idx="169">
                  <c:v>2.1390042E-4</c:v>
                </c:pt>
                <c:pt idx="170">
                  <c:v>2.0346837000000001E-4</c:v>
                </c:pt>
                <c:pt idx="171">
                  <c:v>1.935451E-4</c:v>
                </c:pt>
                <c:pt idx="172">
                  <c:v>1.8410578999999999E-4</c:v>
                </c:pt>
                <c:pt idx="173">
                  <c:v>1.7512685E-4</c:v>
                </c:pt>
                <c:pt idx="174">
                  <c:v>1.6658581000000001E-4</c:v>
                </c:pt>
                <c:pt idx="175">
                  <c:v>1.5846133E-4</c:v>
                </c:pt>
                <c:pt idx="176">
                  <c:v>1.5073307999999999E-4</c:v>
                </c:pt>
                <c:pt idx="177">
                  <c:v>1.4338174000000001E-4</c:v>
                </c:pt>
                <c:pt idx="178">
                  <c:v>1.3638893000000001E-4</c:v>
                </c:pt>
                <c:pt idx="179">
                  <c:v>1.2973716000000001E-4</c:v>
                </c:pt>
                <c:pt idx="180">
                  <c:v>1.234098E-4</c:v>
                </c:pt>
                <c:pt idx="181">
                  <c:v>1.1739104E-4</c:v>
                </c:pt>
                <c:pt idx="182">
                  <c:v>1.1166581E-4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9-3F4E-9F7C-925EE3890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884344"/>
        <c:axId val="2086887336"/>
      </c:scatterChart>
      <c:valAx>
        <c:axId val="2086884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6887336"/>
        <c:crosses val="autoZero"/>
        <c:crossBetween val="midCat"/>
      </c:valAx>
      <c:valAx>
        <c:axId val="208688733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884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2</xdr:row>
      <xdr:rowOff>88900</xdr:rowOff>
    </xdr:from>
    <xdr:to>
      <xdr:col>10</xdr:col>
      <xdr:colOff>495300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698500</xdr:colOff>
      <xdr:row>0</xdr:row>
      <xdr:rowOff>38100</xdr:rowOff>
    </xdr:from>
    <xdr:to>
      <xdr:col>14</xdr:col>
      <xdr:colOff>723900</xdr:colOff>
      <xdr:row>32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48</xdr:row>
      <xdr:rowOff>0</xdr:rowOff>
    </xdr:from>
    <xdr:to>
      <xdr:col>11</xdr:col>
      <xdr:colOff>342900</xdr:colOff>
      <xdr:row>64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16</xdr:col>
      <xdr:colOff>762000</xdr:colOff>
      <xdr:row>64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101600</xdr:colOff>
      <xdr:row>41</xdr:row>
      <xdr:rowOff>63500</xdr:rowOff>
    </xdr:from>
    <xdr:to>
      <xdr:col>34</xdr:col>
      <xdr:colOff>38100</xdr:colOff>
      <xdr:row>51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177800</xdr:colOff>
      <xdr:row>40</xdr:row>
      <xdr:rowOff>152400</xdr:rowOff>
    </xdr:from>
    <xdr:to>
      <xdr:col>23</xdr:col>
      <xdr:colOff>152400</xdr:colOff>
      <xdr:row>50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368300</xdr:colOff>
      <xdr:row>41</xdr:row>
      <xdr:rowOff>25400</xdr:rowOff>
    </xdr:from>
    <xdr:to>
      <xdr:col>27</xdr:col>
      <xdr:colOff>254000</xdr:colOff>
      <xdr:row>53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94F0B-B730-AEA6-AE5B-B88D948CE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139700</xdr:colOff>
      <xdr:row>23</xdr:row>
      <xdr:rowOff>69850</xdr:rowOff>
    </xdr:from>
    <xdr:to>
      <xdr:col>30</xdr:col>
      <xdr:colOff>901700</xdr:colOff>
      <xdr:row>40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95250</xdr:rowOff>
    </xdr:from>
    <xdr:to>
      <xdr:col>4</xdr:col>
      <xdr:colOff>762000</xdr:colOff>
      <xdr:row>49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26</xdr:row>
      <xdr:rowOff>88900</xdr:rowOff>
    </xdr:from>
    <xdr:to>
      <xdr:col>12</xdr:col>
      <xdr:colOff>317500</xdr:colOff>
      <xdr:row>43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825500</xdr:colOff>
      <xdr:row>26</xdr:row>
      <xdr:rowOff>146050</xdr:rowOff>
    </xdr:from>
    <xdr:to>
      <xdr:col>12</xdr:col>
      <xdr:colOff>635000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469900</xdr:colOff>
      <xdr:row>27</xdr:row>
      <xdr:rowOff>0</xdr:rowOff>
    </xdr:from>
    <xdr:to>
      <xdr:col>18</xdr:col>
      <xdr:colOff>279400</xdr:colOff>
      <xdr:row>43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431800</xdr:colOff>
      <xdr:row>30</xdr:row>
      <xdr:rowOff>12700</xdr:rowOff>
    </xdr:from>
    <xdr:to>
      <xdr:col>34</xdr:col>
      <xdr:colOff>241300</xdr:colOff>
      <xdr:row>46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57</xdr:row>
      <xdr:rowOff>0</xdr:rowOff>
    </xdr:from>
    <xdr:to>
      <xdr:col>34</xdr:col>
      <xdr:colOff>762000</xdr:colOff>
      <xdr:row>73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58</xdr:row>
      <xdr:rowOff>0</xdr:rowOff>
    </xdr:from>
    <xdr:to>
      <xdr:col>18</xdr:col>
      <xdr:colOff>762000</xdr:colOff>
      <xdr:row>74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57</xdr:row>
      <xdr:rowOff>0</xdr:rowOff>
    </xdr:from>
    <xdr:to>
      <xdr:col>10</xdr:col>
      <xdr:colOff>762000</xdr:colOff>
      <xdr:row>73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127000</xdr:rowOff>
    </xdr:from>
    <xdr:to>
      <xdr:col>12</xdr:col>
      <xdr:colOff>342900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opLeftCell="A34" workbookViewId="0">
      <selection activeCell="G23" sqref="G23"/>
    </sheetView>
  </sheetViews>
  <sheetFormatPr baseColWidth="10" defaultRowHeight="13" x14ac:dyDescent="0.15"/>
  <sheetData>
    <row r="1" spans="1:3" x14ac:dyDescent="0.15">
      <c r="A1" t="s">
        <v>2</v>
      </c>
    </row>
    <row r="2" spans="1:3" x14ac:dyDescent="0.15">
      <c r="A2" t="s">
        <v>0</v>
      </c>
      <c r="C2" t="s">
        <v>1</v>
      </c>
    </row>
    <row r="3" spans="1:3" x14ac:dyDescent="0.15">
      <c r="A3" s="1">
        <v>5.9770000000000005E-4</v>
      </c>
      <c r="B3" s="1"/>
      <c r="C3">
        <v>0.873</v>
      </c>
    </row>
    <row r="4" spans="1:3" x14ac:dyDescent="0.15">
      <c r="A4">
        <v>5.0000000000000001E-3</v>
      </c>
      <c r="C4">
        <v>0.89700000000000002</v>
      </c>
    </row>
    <row r="5" spans="1:3" x14ac:dyDescent="0.15">
      <c r="A5">
        <v>6.0000000000000001E-3</v>
      </c>
      <c r="C5">
        <v>0.94699999999999995</v>
      </c>
    </row>
    <row r="6" spans="1:3" x14ac:dyDescent="0.15">
      <c r="A6">
        <v>8.0000000000000002E-3</v>
      </c>
      <c r="C6">
        <v>1.585</v>
      </c>
    </row>
    <row r="7" spans="1:3" x14ac:dyDescent="0.15">
      <c r="A7">
        <v>1.4999999999999999E-2</v>
      </c>
      <c r="C7">
        <v>1.5009999999999999</v>
      </c>
    </row>
    <row r="8" spans="1:3" x14ac:dyDescent="0.15">
      <c r="A8">
        <v>1.6E-2</v>
      </c>
      <c r="C8">
        <v>1.6279999999999999</v>
      </c>
    </row>
    <row r="9" spans="1:3" x14ac:dyDescent="0.15">
      <c r="A9">
        <v>1.9E-2</v>
      </c>
      <c r="C9">
        <v>1.145</v>
      </c>
    </row>
    <row r="10" spans="1:3" x14ac:dyDescent="0.15">
      <c r="A10">
        <v>4.9000000000000002E-2</v>
      </c>
      <c r="C10">
        <v>1.242</v>
      </c>
    </row>
    <row r="11" spans="1:3" x14ac:dyDescent="0.15">
      <c r="A11">
        <v>4.9000000000000002E-2</v>
      </c>
      <c r="C11">
        <v>1.7190000000000001</v>
      </c>
    </row>
    <row r="12" spans="1:3" x14ac:dyDescent="0.15">
      <c r="A12">
        <v>6.0999999999999999E-2</v>
      </c>
      <c r="C12">
        <v>1.9159999999999999</v>
      </c>
    </row>
    <row r="13" spans="1:3" x14ac:dyDescent="0.15">
      <c r="A13">
        <v>8.1000000000000003E-2</v>
      </c>
      <c r="C13">
        <v>1.4219999999999999</v>
      </c>
    </row>
    <row r="14" spans="1:3" x14ac:dyDescent="0.15">
      <c r="A14">
        <v>0.17199999999999999</v>
      </c>
      <c r="C14">
        <v>1.4610000000000001</v>
      </c>
    </row>
    <row r="15" spans="1:3" x14ac:dyDescent="0.15">
      <c r="A15">
        <v>0.16300000000000001</v>
      </c>
      <c r="C15">
        <v>1.865</v>
      </c>
    </row>
    <row r="16" spans="1:3" x14ac:dyDescent="0.15">
      <c r="A16">
        <v>0.13500000000000001</v>
      </c>
      <c r="C16">
        <v>3.2930000000000001</v>
      </c>
    </row>
    <row r="17" spans="1:8" x14ac:dyDescent="0.15">
      <c r="A17">
        <v>2E-3</v>
      </c>
      <c r="C17">
        <v>0.80500000000000005</v>
      </c>
    </row>
    <row r="18" spans="1:8" x14ac:dyDescent="0.15">
      <c r="A18">
        <v>2E-3</v>
      </c>
      <c r="C18">
        <v>1.1140000000000001</v>
      </c>
    </row>
    <row r="28" spans="1:8" x14ac:dyDescent="0.15">
      <c r="A28" t="s">
        <v>18</v>
      </c>
      <c r="F28" t="s">
        <v>19</v>
      </c>
    </row>
    <row r="29" spans="1:8" x14ac:dyDescent="0.15">
      <c r="C29" t="s">
        <v>6</v>
      </c>
      <c r="D29">
        <v>5</v>
      </c>
      <c r="G29" t="s">
        <v>11</v>
      </c>
      <c r="H29">
        <f>0.35*0.77</f>
        <v>0.26949999999999996</v>
      </c>
    </row>
    <row r="30" spans="1:8" x14ac:dyDescent="0.15">
      <c r="C30" t="s">
        <v>5</v>
      </c>
      <c r="D30">
        <f xml:space="preserve"> 1- (1+LN(D29))/D29</f>
        <v>0.4781124175131799</v>
      </c>
      <c r="G30" t="s">
        <v>5</v>
      </c>
      <c r="H30">
        <f xml:space="preserve"> 1- (1+LN(H29))/H29</f>
        <v>2.1546823325902982</v>
      </c>
    </row>
    <row r="32" spans="1:8" x14ac:dyDescent="0.15">
      <c r="A32" t="s">
        <v>3</v>
      </c>
      <c r="C32" t="s">
        <v>4</v>
      </c>
      <c r="D32" t="s">
        <v>7</v>
      </c>
      <c r="F32" t="s">
        <v>3</v>
      </c>
      <c r="G32" t="s">
        <v>4</v>
      </c>
      <c r="H32" t="s">
        <v>7</v>
      </c>
    </row>
    <row r="33" spans="1:14" x14ac:dyDescent="0.15">
      <c r="A33" t="s">
        <v>9</v>
      </c>
      <c r="C33" s="1">
        <v>5.1000000000000004E-3</v>
      </c>
      <c r="D33" s="1">
        <f>D$30*C33</f>
        <v>2.4383733293172178E-3</v>
      </c>
      <c r="F33" t="s">
        <v>9</v>
      </c>
      <c r="G33" s="1">
        <v>1.6000000000000001E-3</v>
      </c>
      <c r="H33" s="1">
        <f>H$30*G33</f>
        <v>3.4474917321444774E-3</v>
      </c>
    </row>
    <row r="34" spans="1:14" x14ac:dyDescent="0.15">
      <c r="A34" t="s">
        <v>8</v>
      </c>
      <c r="C34" s="1">
        <v>6.1999999999999998E-3</v>
      </c>
      <c r="D34" s="1">
        <f>D$30*C34</f>
        <v>2.9642969885817151E-3</v>
      </c>
      <c r="F34" t="s">
        <v>8</v>
      </c>
      <c r="G34" s="1">
        <v>2.0999999999999999E-3</v>
      </c>
      <c r="H34" s="1">
        <f>H$30*G34</f>
        <v>4.524832898439626E-3</v>
      </c>
    </row>
    <row r="35" spans="1:14" x14ac:dyDescent="0.15">
      <c r="A35" t="s">
        <v>10</v>
      </c>
      <c r="C35" s="1">
        <v>7.0000000000000001E-3</v>
      </c>
      <c r="D35" s="1">
        <f>D$30*C35</f>
        <v>3.3467869225922596E-3</v>
      </c>
      <c r="F35" t="s">
        <v>10</v>
      </c>
      <c r="G35" s="1">
        <v>3.5000000000000001E-3</v>
      </c>
      <c r="H35" s="1">
        <f>H$30*G35</f>
        <v>7.5413881640660442E-3</v>
      </c>
    </row>
    <row r="39" spans="1:14" x14ac:dyDescent="0.15">
      <c r="A39" t="s">
        <v>12</v>
      </c>
      <c r="E39" t="s">
        <v>20</v>
      </c>
    </row>
    <row r="40" spans="1:14" x14ac:dyDescent="0.15">
      <c r="E40">
        <v>1.026</v>
      </c>
    </row>
    <row r="41" spans="1:14" x14ac:dyDescent="0.15">
      <c r="A41" t="s">
        <v>3</v>
      </c>
      <c r="C41" t="s">
        <v>28</v>
      </c>
      <c r="D41" t="s">
        <v>16</v>
      </c>
      <c r="E41" t="s">
        <v>17</v>
      </c>
      <c r="F41" t="s">
        <v>13</v>
      </c>
      <c r="G41" t="s">
        <v>14</v>
      </c>
      <c r="H41" t="s">
        <v>15</v>
      </c>
      <c r="I41" t="s">
        <v>25</v>
      </c>
      <c r="J41" t="s">
        <v>26</v>
      </c>
      <c r="K41" t="s">
        <v>27</v>
      </c>
      <c r="L41" t="s">
        <v>29</v>
      </c>
      <c r="M41" t="s">
        <v>30</v>
      </c>
      <c r="N41" t="s">
        <v>31</v>
      </c>
    </row>
    <row r="42" spans="1:14" x14ac:dyDescent="0.15">
      <c r="A42" s="1">
        <v>8300000</v>
      </c>
      <c r="B42" s="1">
        <f>A42/742</f>
        <v>11185.983827493261</v>
      </c>
      <c r="C42">
        <v>8.35</v>
      </c>
      <c r="D42" s="1">
        <v>8.1210000000000007E-6</v>
      </c>
      <c r="E42" s="1">
        <f>D42*E$40</f>
        <v>8.3321460000000002E-6</v>
      </c>
      <c r="F42">
        <v>2.78</v>
      </c>
      <c r="G42" s="1">
        <f>E42/$D$33</f>
        <v>3.4170920013848454E-3</v>
      </c>
      <c r="H42">
        <f>F42/C$42</f>
        <v>0.33293413173652692</v>
      </c>
      <c r="I42">
        <v>40</v>
      </c>
      <c r="J42">
        <v>3.78E-2</v>
      </c>
      <c r="K42" s="1">
        <v>3.0000000000000001E-3</v>
      </c>
      <c r="L42" s="1">
        <f>6*I42*K42/J42/2</f>
        <v>9.5238095238095237</v>
      </c>
      <c r="M42" s="1">
        <f>C42/L42</f>
        <v>0.87674999999999992</v>
      </c>
      <c r="N42" s="1">
        <f>6*SQRT(2)*I42/SQRT(J42*K42*(E40/2)*1000)</f>
        <v>1407.2168596917857</v>
      </c>
    </row>
    <row r="43" spans="1:14" x14ac:dyDescent="0.15">
      <c r="D43" s="1">
        <v>1.0010000000000001E-5</v>
      </c>
      <c r="E43" s="1">
        <f t="shared" ref="E43:E64" si="0">D43*E$40</f>
        <v>1.0270260000000001E-5</v>
      </c>
      <c r="F43">
        <v>3.3109999999999999</v>
      </c>
      <c r="G43" s="1">
        <f t="shared" ref="G43:G49" si="1">E43/$D$33</f>
        <v>4.2119309116934248E-3</v>
      </c>
      <c r="H43">
        <f t="shared" ref="H43:H49" si="2">F43/C$42</f>
        <v>0.39652694610778444</v>
      </c>
    </row>
    <row r="44" spans="1:14" x14ac:dyDescent="0.15">
      <c r="D44" s="1">
        <v>3.1550000000000001E-5</v>
      </c>
      <c r="E44" s="1">
        <f t="shared" si="0"/>
        <v>3.2370300000000004E-5</v>
      </c>
      <c r="F44">
        <v>6.8970000000000002</v>
      </c>
      <c r="G44" s="1">
        <f t="shared" si="1"/>
        <v>1.3275366659733024E-2</v>
      </c>
      <c r="H44">
        <f t="shared" si="2"/>
        <v>0.82598802395209592</v>
      </c>
    </row>
    <row r="45" spans="1:14" x14ac:dyDescent="0.15">
      <c r="D45" s="1">
        <v>9.9500000000000006E-5</v>
      </c>
      <c r="E45" s="1">
        <f t="shared" si="0"/>
        <v>1.0208700000000001E-4</v>
      </c>
      <c r="F45">
        <v>15.954000000000001</v>
      </c>
      <c r="G45" s="1">
        <f t="shared" si="1"/>
        <v>4.1866845725623957E-2</v>
      </c>
      <c r="H45">
        <f t="shared" si="2"/>
        <v>1.9106586826347307</v>
      </c>
    </row>
    <row r="46" spans="1:14" x14ac:dyDescent="0.15">
      <c r="D46" s="1">
        <v>1.996E-4</v>
      </c>
      <c r="E46" s="1">
        <f t="shared" si="0"/>
        <v>2.047896E-4</v>
      </c>
      <c r="F46">
        <v>36.905999999999999</v>
      </c>
      <c r="G46" s="1">
        <f t="shared" si="1"/>
        <v>8.3986154842558197E-2</v>
      </c>
      <c r="H46">
        <f t="shared" si="2"/>
        <v>4.4198802395209578</v>
      </c>
    </row>
    <row r="47" spans="1:14" x14ac:dyDescent="0.15">
      <c r="D47" s="1">
        <v>2.4590000000000001E-4</v>
      </c>
      <c r="E47" s="1">
        <f t="shared" si="0"/>
        <v>2.5229340000000003E-4</v>
      </c>
      <c r="F47">
        <v>40.984999999999999</v>
      </c>
      <c r="G47" s="1">
        <f t="shared" si="1"/>
        <v>0.10346791320533599</v>
      </c>
      <c r="H47">
        <f t="shared" si="2"/>
        <v>4.908383233532934</v>
      </c>
    </row>
    <row r="48" spans="1:14" x14ac:dyDescent="0.15">
      <c r="D48" s="1">
        <v>3.1379999999999998E-4</v>
      </c>
      <c r="E48" s="1">
        <f t="shared" si="0"/>
        <v>3.2195880000000001E-4</v>
      </c>
      <c r="F48">
        <v>50.545999999999999</v>
      </c>
      <c r="G48" s="1">
        <f t="shared" si="1"/>
        <v>0.13203835365528438</v>
      </c>
      <c r="H48">
        <f t="shared" si="2"/>
        <v>6.0534131736526948</v>
      </c>
    </row>
    <row r="49" spans="1:14" x14ac:dyDescent="0.15">
      <c r="D49" s="1">
        <v>9.8949999999999993E-4</v>
      </c>
      <c r="E49" s="1">
        <f t="shared" si="0"/>
        <v>1.0152270000000001E-3</v>
      </c>
      <c r="F49">
        <v>154.63999999999999</v>
      </c>
      <c r="G49" s="1">
        <f t="shared" si="1"/>
        <v>0.4163542095025618</v>
      </c>
      <c r="H49">
        <f t="shared" si="2"/>
        <v>18.519760479041917</v>
      </c>
    </row>
    <row r="51" spans="1:14" x14ac:dyDescent="0.15">
      <c r="A51" s="1">
        <v>5700000</v>
      </c>
      <c r="B51" s="1">
        <f>A51/742</f>
        <v>7681.9407008086255</v>
      </c>
      <c r="C51">
        <v>4.6399999999999997</v>
      </c>
      <c r="D51" s="1">
        <v>7.3159999999999999E-6</v>
      </c>
      <c r="E51" s="1">
        <f t="shared" si="0"/>
        <v>7.5062159999999998E-6</v>
      </c>
      <c r="F51">
        <v>2.254</v>
      </c>
      <c r="G51" s="1">
        <f>E51/$D$34</f>
        <v>2.5322078148422612E-3</v>
      </c>
      <c r="H51">
        <f>F51/C$51</f>
        <v>0.48577586206896556</v>
      </c>
      <c r="I51">
        <v>40</v>
      </c>
      <c r="J51">
        <v>3.78E-2</v>
      </c>
      <c r="K51" s="1">
        <v>3.0000000000000001E-3</v>
      </c>
      <c r="L51" s="1">
        <f>6*I51*K51/J51/2</f>
        <v>9.5238095238095237</v>
      </c>
      <c r="M51" s="1">
        <f>C51/L51</f>
        <v>0.48719999999999997</v>
      </c>
      <c r="N51" s="1">
        <f>6*SQRT(2)*I51/SQRT(J51*K51*E40/2*1000)</f>
        <v>1407.2168596917857</v>
      </c>
    </row>
    <row r="52" spans="1:14" x14ac:dyDescent="0.15">
      <c r="D52" s="1">
        <v>1.0010000000000001E-5</v>
      </c>
      <c r="E52" s="1">
        <f t="shared" si="0"/>
        <v>1.0270260000000001E-5</v>
      </c>
      <c r="F52">
        <v>2.4169999999999998</v>
      </c>
      <c r="G52" s="1">
        <f>E52/$D$34</f>
        <v>3.46465284671556E-3</v>
      </c>
      <c r="H52">
        <f>F52/C$51</f>
        <v>0.52090517241379308</v>
      </c>
    </row>
    <row r="53" spans="1:14" x14ac:dyDescent="0.15">
      <c r="D53" s="1">
        <v>3.1550000000000001E-5</v>
      </c>
      <c r="E53" s="1">
        <f t="shared" si="0"/>
        <v>3.2370300000000004E-5</v>
      </c>
      <c r="F53">
        <v>3.4289999999999998</v>
      </c>
      <c r="G53" s="1">
        <f>E53/$D$34</f>
        <v>1.0920059671715877E-2</v>
      </c>
      <c r="H53">
        <f>F53/C$51</f>
        <v>0.73900862068965523</v>
      </c>
    </row>
    <row r="54" spans="1:14" x14ac:dyDescent="0.15">
      <c r="D54" s="1">
        <v>9.9500000000000006E-5</v>
      </c>
      <c r="E54" s="1">
        <f t="shared" si="0"/>
        <v>1.0208700000000001E-4</v>
      </c>
      <c r="F54">
        <v>5.7910000000000004</v>
      </c>
      <c r="G54" s="1">
        <f>E54/$D$34</f>
        <v>3.4438856967851969E-2</v>
      </c>
      <c r="H54">
        <f>F54/C$51</f>
        <v>1.2480603448275864</v>
      </c>
    </row>
    <row r="55" spans="1:14" x14ac:dyDescent="0.15">
      <c r="D55" s="1">
        <v>3.1379999999999998E-4</v>
      </c>
      <c r="E55" s="1">
        <f t="shared" si="0"/>
        <v>3.2195880000000001E-4</v>
      </c>
      <c r="F55">
        <v>26.021999999999998</v>
      </c>
      <c r="G55" s="1">
        <f>E55/$D$34</f>
        <v>0.10861219413579846</v>
      </c>
      <c r="H55">
        <f>F55/C$51</f>
        <v>5.6081896551724135</v>
      </c>
    </row>
    <row r="57" spans="1:14" x14ac:dyDescent="0.15">
      <c r="A57" s="1">
        <v>2800000</v>
      </c>
      <c r="B57" s="1">
        <f>A57/742</f>
        <v>3773.5849056603774</v>
      </c>
      <c r="C57">
        <v>2.0099999999999998</v>
      </c>
      <c r="D57" s="1">
        <v>2.4870000000000001E-6</v>
      </c>
      <c r="E57" s="1">
        <f t="shared" si="0"/>
        <v>2.5516620000000003E-6</v>
      </c>
      <c r="F57">
        <v>0.64100000000000001</v>
      </c>
      <c r="G57" s="1">
        <f>E57/$D$35</f>
        <v>7.6242140865771227E-4</v>
      </c>
      <c r="H57">
        <f>F57/C$57</f>
        <v>0.31890547263681596</v>
      </c>
      <c r="I57">
        <v>51</v>
      </c>
      <c r="J57">
        <v>3.78E-2</v>
      </c>
      <c r="K57" s="1">
        <v>3.0000000000000001E-3</v>
      </c>
      <c r="L57" s="1">
        <f>6*I57*K57/J57/2</f>
        <v>12.142857142857144</v>
      </c>
      <c r="M57" s="1">
        <f>C57/L57</f>
        <v>0.16552941176470584</v>
      </c>
      <c r="N57" s="1">
        <f>6*SQRT(2)*I57/SQRT(J57*K57*E40/2*1000)</f>
        <v>1794.2014961070267</v>
      </c>
    </row>
    <row r="58" spans="1:14" x14ac:dyDescent="0.15">
      <c r="D58" s="1">
        <v>7.5750000000000003E-6</v>
      </c>
      <c r="E58" s="1">
        <f t="shared" si="0"/>
        <v>7.771950000000001E-6</v>
      </c>
      <c r="F58">
        <v>1.335</v>
      </c>
      <c r="G58" s="1">
        <f t="shared" ref="G58:G64" si="3">E58/$D$35</f>
        <v>2.3222123725702335E-3</v>
      </c>
      <c r="H58">
        <f t="shared" ref="H58:H64" si="4">F58/C$57</f>
        <v>0.66417910447761197</v>
      </c>
    </row>
    <row r="59" spans="1:14" x14ac:dyDescent="0.15">
      <c r="D59" s="1">
        <v>1.417E-5</v>
      </c>
      <c r="E59" s="1">
        <f t="shared" si="0"/>
        <v>1.4538420000000001E-5</v>
      </c>
      <c r="F59">
        <v>1.431</v>
      </c>
      <c r="G59" s="1">
        <f t="shared" si="3"/>
        <v>4.3439933094812149E-3</v>
      </c>
      <c r="H59">
        <f t="shared" si="4"/>
        <v>0.71194029850746277</v>
      </c>
    </row>
    <row r="60" spans="1:14" x14ac:dyDescent="0.15">
      <c r="D60" s="1">
        <v>2.4729999999999999E-5</v>
      </c>
      <c r="E60" s="1">
        <f t="shared" si="0"/>
        <v>2.5372979999999998E-5</v>
      </c>
      <c r="F60">
        <v>2.0299999999999998</v>
      </c>
      <c r="G60" s="1">
        <f t="shared" si="3"/>
        <v>7.5812953100543711E-3</v>
      </c>
      <c r="H60">
        <f t="shared" si="4"/>
        <v>1.0099502487562189</v>
      </c>
    </row>
    <row r="61" spans="1:14" x14ac:dyDescent="0.15">
      <c r="D61" s="1">
        <v>4.1680000000000001E-5</v>
      </c>
      <c r="E61" s="1">
        <f t="shared" si="0"/>
        <v>4.2763680000000004E-5</v>
      </c>
      <c r="F61">
        <v>2.3340000000000001</v>
      </c>
      <c r="G61" s="1">
        <f t="shared" si="3"/>
        <v>1.2777532896201626E-2</v>
      </c>
      <c r="H61">
        <f t="shared" si="4"/>
        <v>1.1611940298507464</v>
      </c>
    </row>
    <row r="62" spans="1:14" x14ac:dyDescent="0.15">
      <c r="D62" s="1">
        <v>7.7990000000000004E-5</v>
      </c>
      <c r="E62" s="1">
        <f t="shared" si="0"/>
        <v>8.0017740000000001E-5</v>
      </c>
      <c r="F62">
        <v>3.8079999999999998</v>
      </c>
      <c r="G62" s="1">
        <f t="shared" si="3"/>
        <v>2.3908824150066333E-2</v>
      </c>
      <c r="H62">
        <f t="shared" si="4"/>
        <v>1.8945273631840798</v>
      </c>
    </row>
    <row r="63" spans="1:14" x14ac:dyDescent="0.15">
      <c r="D63" s="1">
        <v>1.4090000000000001E-4</v>
      </c>
      <c r="E63" s="1">
        <f t="shared" si="0"/>
        <v>1.4456340000000001E-4</v>
      </c>
      <c r="F63">
        <v>4.0830000000000002</v>
      </c>
      <c r="G63" s="1">
        <f t="shared" si="3"/>
        <v>4.3194682943253578E-2</v>
      </c>
      <c r="H63">
        <f t="shared" si="4"/>
        <v>2.0313432835820899</v>
      </c>
    </row>
    <row r="64" spans="1:14" x14ac:dyDescent="0.15">
      <c r="D64" s="1">
        <v>2.4590000000000001E-4</v>
      </c>
      <c r="E64" s="1">
        <f t="shared" si="0"/>
        <v>2.5229340000000003E-4</v>
      </c>
      <c r="F64">
        <v>6.21</v>
      </c>
      <c r="G64" s="1">
        <f t="shared" si="3"/>
        <v>7.5383765335316225E-2</v>
      </c>
      <c r="H64">
        <f t="shared" si="4"/>
        <v>3.0895522388059704</v>
      </c>
    </row>
    <row r="65" spans="1:14" x14ac:dyDescent="0.15">
      <c r="D65" s="1"/>
      <c r="E65" s="1"/>
      <c r="G65" s="1"/>
    </row>
    <row r="66" spans="1:14" x14ac:dyDescent="0.15">
      <c r="A66" s="1">
        <v>1800000</v>
      </c>
      <c r="B66" s="1">
        <f>A66/742</f>
        <v>2425.8760107816711</v>
      </c>
      <c r="C66">
        <v>0.64</v>
      </c>
      <c r="D66" s="1"/>
      <c r="E66" s="1"/>
      <c r="G66" s="1"/>
      <c r="I66">
        <v>33</v>
      </c>
      <c r="J66">
        <v>3.78E-2</v>
      </c>
      <c r="K66" s="1">
        <v>1.5E-3</v>
      </c>
      <c r="L66" s="1">
        <f>6*I66*K66/J66/2</f>
        <v>3.9285714285714284</v>
      </c>
      <c r="M66" s="1">
        <f>C66/L66</f>
        <v>0.16290909090909092</v>
      </c>
      <c r="N66" s="1">
        <f>6*SQRT(2)*I66/SQRT(J66*K66*E40/2*1000)</f>
        <v>1641.8367637453653</v>
      </c>
    </row>
    <row r="67" spans="1:14" x14ac:dyDescent="0.15">
      <c r="D67" s="1"/>
      <c r="E67" s="1"/>
      <c r="G67" s="1"/>
      <c r="K67" s="1"/>
      <c r="L67" s="1"/>
      <c r="M67" s="1"/>
      <c r="N67" s="1"/>
    </row>
    <row r="68" spans="1:14" x14ac:dyDescent="0.15">
      <c r="A68" s="1">
        <v>6000000</v>
      </c>
      <c r="B68" s="1">
        <f>A68/742</f>
        <v>8086.2533692722373</v>
      </c>
      <c r="C68">
        <v>4.18</v>
      </c>
      <c r="D68" s="1"/>
      <c r="E68" s="1"/>
      <c r="G68" s="1"/>
      <c r="I68">
        <v>33</v>
      </c>
      <c r="J68">
        <v>3.78E-2</v>
      </c>
      <c r="K68" s="1">
        <v>1.5E-3</v>
      </c>
      <c r="L68" s="1">
        <f>6*I68*K68/J68/2</f>
        <v>3.9285714285714284</v>
      </c>
      <c r="M68" s="1">
        <f>C68/L68</f>
        <v>1.0640000000000001</v>
      </c>
    </row>
    <row r="70" spans="1:14" x14ac:dyDescent="0.15">
      <c r="A70" t="s">
        <v>23</v>
      </c>
      <c r="E70" t="s">
        <v>20</v>
      </c>
    </row>
    <row r="71" spans="1:14" x14ac:dyDescent="0.15">
      <c r="E71">
        <v>1.1180000000000001</v>
      </c>
    </row>
    <row r="72" spans="1:14" x14ac:dyDescent="0.15">
      <c r="A72" t="s">
        <v>3</v>
      </c>
      <c r="C72" t="s">
        <v>28</v>
      </c>
      <c r="D72" t="s">
        <v>16</v>
      </c>
      <c r="E72" t="s">
        <v>17</v>
      </c>
      <c r="F72" t="s">
        <v>13</v>
      </c>
      <c r="G72" t="s">
        <v>14</v>
      </c>
      <c r="H72" t="s">
        <v>15</v>
      </c>
      <c r="I72" t="s">
        <v>25</v>
      </c>
      <c r="J72" t="s">
        <v>26</v>
      </c>
      <c r="K72" t="s">
        <v>27</v>
      </c>
      <c r="L72" t="s">
        <v>29</v>
      </c>
      <c r="M72" t="s">
        <v>30</v>
      </c>
    </row>
    <row r="73" spans="1:14" x14ac:dyDescent="0.15">
      <c r="A73" t="s">
        <v>24</v>
      </c>
      <c r="C73">
        <v>1.0699999999999999E-2</v>
      </c>
      <c r="D73" s="1">
        <v>9.9500000000000006E-5</v>
      </c>
      <c r="E73" s="1">
        <f>D73*E$71</f>
        <v>1.1124100000000001E-4</v>
      </c>
      <c r="F73">
        <v>1.2E-2</v>
      </c>
      <c r="G73" s="1">
        <f>E73/$H$33</f>
        <v>3.2267227492610601E-2</v>
      </c>
      <c r="H73">
        <f>F73/C$73</f>
        <v>1.1214953271028039</v>
      </c>
      <c r="I73">
        <v>1.0999999999999999E-2</v>
      </c>
      <c r="J73">
        <v>3.7499999999999999E-2</v>
      </c>
      <c r="K73" s="1">
        <v>3.0000000000000001E-3</v>
      </c>
      <c r="L73" s="1">
        <f>6*I73*K73/J73</f>
        <v>5.2800000000000008E-3</v>
      </c>
      <c r="M73" s="1">
        <f>C73/L73</f>
        <v>2.0265151515151509</v>
      </c>
      <c r="N73" s="1">
        <f>6*SQRT(2)*I73/SQRT(J73*K73*E71*1000)</f>
        <v>0.26318538600401487</v>
      </c>
    </row>
    <row r="74" spans="1:14" x14ac:dyDescent="0.15">
      <c r="D74" s="1">
        <v>3.1379999999999998E-4</v>
      </c>
      <c r="E74" s="1">
        <f t="shared" ref="E74:E93" si="5">D74*E$71</f>
        <v>3.508284E-4</v>
      </c>
      <c r="F74">
        <v>1.9E-2</v>
      </c>
      <c r="G74" s="1">
        <f t="shared" ref="G74:G79" si="6">E74/$H$33</f>
        <v>0.10176337675559</v>
      </c>
      <c r="H74">
        <f t="shared" ref="H74:H79" si="7">F74/C$73</f>
        <v>1.7757009345794392</v>
      </c>
    </row>
    <row r="75" spans="1:14" x14ac:dyDescent="0.15">
      <c r="D75">
        <v>1E-3</v>
      </c>
      <c r="E75" s="1">
        <f t="shared" si="5"/>
        <v>1.1180000000000001E-3</v>
      </c>
      <c r="F75">
        <v>3.1E-2</v>
      </c>
      <c r="G75" s="1">
        <f t="shared" si="6"/>
        <v>0.32429374364432761</v>
      </c>
      <c r="H75">
        <f t="shared" si="7"/>
        <v>2.8971962616822431</v>
      </c>
    </row>
    <row r="76" spans="1:14" x14ac:dyDescent="0.15">
      <c r="D76">
        <v>3.0000000000000001E-3</v>
      </c>
      <c r="E76" s="1">
        <f t="shared" si="5"/>
        <v>3.3540000000000002E-3</v>
      </c>
      <c r="F76">
        <v>7.0999999999999994E-2</v>
      </c>
      <c r="G76" s="1">
        <f t="shared" si="6"/>
        <v>0.97288123093298284</v>
      </c>
      <c r="H76">
        <f t="shared" si="7"/>
        <v>6.6355140186915884</v>
      </c>
    </row>
    <row r="77" spans="1:14" x14ac:dyDescent="0.15">
      <c r="D77">
        <v>0.01</v>
      </c>
      <c r="E77" s="1">
        <f t="shared" si="5"/>
        <v>1.1180000000000001E-2</v>
      </c>
      <c r="F77">
        <v>0.13800000000000001</v>
      </c>
      <c r="G77" s="1">
        <f t="shared" si="6"/>
        <v>3.2429374364432761</v>
      </c>
      <c r="H77">
        <f t="shared" si="7"/>
        <v>12.897196261682245</v>
      </c>
    </row>
    <row r="78" spans="1:14" x14ac:dyDescent="0.15">
      <c r="D78">
        <v>0.02</v>
      </c>
      <c r="E78" s="1">
        <f t="shared" si="5"/>
        <v>2.2360000000000001E-2</v>
      </c>
      <c r="F78">
        <v>0.22500000000000001</v>
      </c>
      <c r="G78" s="1">
        <f t="shared" si="6"/>
        <v>6.4858748728865523</v>
      </c>
      <c r="H78">
        <f t="shared" si="7"/>
        <v>21.028037383177573</v>
      </c>
    </row>
    <row r="79" spans="1:14" x14ac:dyDescent="0.15">
      <c r="D79">
        <v>0.03</v>
      </c>
      <c r="E79" s="1">
        <f t="shared" si="5"/>
        <v>3.354E-2</v>
      </c>
      <c r="F79">
        <v>0.55700000000000005</v>
      </c>
      <c r="G79" s="1">
        <f t="shared" si="6"/>
        <v>9.7288123093298271</v>
      </c>
      <c r="H79">
        <f t="shared" si="7"/>
        <v>52.056074766355145</v>
      </c>
    </row>
    <row r="81" spans="1:14" x14ac:dyDescent="0.15">
      <c r="A81" t="s">
        <v>21</v>
      </c>
      <c r="C81">
        <v>5.7000000000000002E-3</v>
      </c>
      <c r="D81" s="1">
        <v>9.9500000000000006E-5</v>
      </c>
      <c r="E81" s="1">
        <f t="shared" si="5"/>
        <v>1.1124100000000001E-4</v>
      </c>
      <c r="F81">
        <v>5.0000000000000001E-3</v>
      </c>
      <c r="G81" s="1">
        <f>E81/$H$34</f>
        <v>2.458455428008427E-2</v>
      </c>
      <c r="H81">
        <f>F81/C$81</f>
        <v>0.8771929824561403</v>
      </c>
      <c r="I81">
        <v>1.0999999999999999E-2</v>
      </c>
      <c r="J81">
        <v>3.7499999999999999E-2</v>
      </c>
      <c r="K81" s="1">
        <v>3.0000000000000001E-3</v>
      </c>
      <c r="L81" s="1">
        <f>6*I81*K81/J81</f>
        <v>5.2800000000000008E-3</v>
      </c>
      <c r="M81" s="1">
        <f>C81/L81</f>
        <v>1.0795454545454544</v>
      </c>
      <c r="N81" s="1">
        <f>6*SQRT(2)*I81/SQRT(J81*K81*E71*1000)</f>
        <v>0.26318538600401487</v>
      </c>
    </row>
    <row r="82" spans="1:14" x14ac:dyDescent="0.15">
      <c r="D82" s="1">
        <v>3.1379999999999998E-4</v>
      </c>
      <c r="E82" s="1">
        <f t="shared" si="5"/>
        <v>3.508284E-4</v>
      </c>
      <c r="F82">
        <v>7.0000000000000001E-3</v>
      </c>
      <c r="G82" s="1">
        <f t="shared" ref="G82:G88" si="8">E82/$H$34</f>
        <v>7.753400133759239E-2</v>
      </c>
      <c r="H82">
        <f t="shared" ref="H82:H88" si="9">F82/C$81</f>
        <v>1.2280701754385965</v>
      </c>
    </row>
    <row r="83" spans="1:14" x14ac:dyDescent="0.15">
      <c r="D83">
        <v>1E-3</v>
      </c>
      <c r="E83" s="1">
        <f t="shared" si="5"/>
        <v>1.1180000000000001E-3</v>
      </c>
      <c r="F83">
        <v>1.2999999999999999E-2</v>
      </c>
      <c r="G83" s="1">
        <f t="shared" si="8"/>
        <v>0.24708094753853535</v>
      </c>
      <c r="H83">
        <f t="shared" si="9"/>
        <v>2.2807017543859649</v>
      </c>
    </row>
    <row r="84" spans="1:14" x14ac:dyDescent="0.15">
      <c r="D84">
        <v>3.0000000000000001E-3</v>
      </c>
      <c r="E84" s="1">
        <f t="shared" si="5"/>
        <v>3.3540000000000002E-3</v>
      </c>
      <c r="F84">
        <v>2.4E-2</v>
      </c>
      <c r="G84" s="1">
        <f t="shared" si="8"/>
        <v>0.74124284261560602</v>
      </c>
      <c r="H84">
        <f t="shared" si="9"/>
        <v>4.2105263157894735</v>
      </c>
    </row>
    <row r="85" spans="1:14" x14ac:dyDescent="0.15">
      <c r="D85">
        <v>0.01</v>
      </c>
      <c r="E85" s="1">
        <f t="shared" si="5"/>
        <v>1.1180000000000001E-2</v>
      </c>
      <c r="F85">
        <v>5.7000000000000002E-2</v>
      </c>
      <c r="G85" s="1">
        <f t="shared" si="8"/>
        <v>2.4708094753853533</v>
      </c>
      <c r="H85">
        <f t="shared" si="9"/>
        <v>10</v>
      </c>
    </row>
    <row r="86" spans="1:14" x14ac:dyDescent="0.15">
      <c r="D86">
        <v>0.02</v>
      </c>
      <c r="E86" s="1">
        <f t="shared" si="5"/>
        <v>2.2360000000000001E-2</v>
      </c>
      <c r="F86">
        <v>7.2999999999999995E-2</v>
      </c>
      <c r="G86" s="1">
        <f t="shared" si="8"/>
        <v>4.9416189507707067</v>
      </c>
      <c r="H86">
        <f t="shared" si="9"/>
        <v>12.807017543859647</v>
      </c>
    </row>
    <row r="87" spans="1:14" x14ac:dyDescent="0.15">
      <c r="D87">
        <v>0.03</v>
      </c>
      <c r="E87" s="1">
        <f t="shared" si="5"/>
        <v>3.354E-2</v>
      </c>
      <c r="F87">
        <v>0.11600000000000001</v>
      </c>
      <c r="G87" s="1">
        <f t="shared" si="8"/>
        <v>7.41242842615606</v>
      </c>
      <c r="H87">
        <f t="shared" si="9"/>
        <v>20.350877192982455</v>
      </c>
    </row>
    <row r="88" spans="1:14" x14ac:dyDescent="0.15">
      <c r="D88">
        <v>5.0999999999999997E-2</v>
      </c>
      <c r="E88" s="1">
        <f t="shared" si="5"/>
        <v>5.7017999999999999E-2</v>
      </c>
      <c r="F88">
        <v>0.57699999999999996</v>
      </c>
      <c r="G88" s="1">
        <f t="shared" si="8"/>
        <v>12.601128324465302</v>
      </c>
      <c r="H88">
        <f t="shared" si="9"/>
        <v>101.22807017543859</v>
      </c>
    </row>
    <row r="90" spans="1:14" x14ac:dyDescent="0.15">
      <c r="A90" t="s">
        <v>22</v>
      </c>
      <c r="C90">
        <v>1.6999999999999999E-3</v>
      </c>
      <c r="D90">
        <v>1.2E-2</v>
      </c>
      <c r="E90" s="1">
        <f t="shared" si="5"/>
        <v>1.3416000000000001E-2</v>
      </c>
      <c r="F90">
        <v>1.2E-2</v>
      </c>
      <c r="G90" s="1">
        <f>E90/$H$35</f>
        <v>1.7789828222774544</v>
      </c>
      <c r="H90">
        <f>F90/C$90</f>
        <v>7.0588235294117654</v>
      </c>
      <c r="I90">
        <v>1.0999999999999999E-2</v>
      </c>
      <c r="J90">
        <v>3.7499999999999999E-2</v>
      </c>
      <c r="K90" s="1">
        <v>3.0000000000000001E-3</v>
      </c>
      <c r="L90" s="1">
        <f>6*I90*K90/J90</f>
        <v>5.2800000000000008E-3</v>
      </c>
      <c r="M90" s="1">
        <f>C90/L90</f>
        <v>0.32196969696969691</v>
      </c>
      <c r="N90" s="1">
        <f>6*SQRT(2)*I90/SQRT(J90*K90*E71*1000)</f>
        <v>0.26318538600401487</v>
      </c>
    </row>
    <row r="91" spans="1:14" x14ac:dyDescent="0.15">
      <c r="D91">
        <v>0.02</v>
      </c>
      <c r="E91" s="1">
        <f t="shared" si="5"/>
        <v>2.2360000000000001E-2</v>
      </c>
      <c r="F91">
        <v>1.7999999999999999E-2</v>
      </c>
      <c r="G91" s="1">
        <f>E91/$H$35</f>
        <v>2.9649713704624236</v>
      </c>
      <c r="H91">
        <f>F91/C$90</f>
        <v>10.588235294117647</v>
      </c>
    </row>
    <row r="92" spans="1:14" x14ac:dyDescent="0.15">
      <c r="D92">
        <v>0.04</v>
      </c>
      <c r="E92" s="1">
        <f t="shared" si="5"/>
        <v>4.4720000000000003E-2</v>
      </c>
      <c r="F92">
        <v>3.9E-2</v>
      </c>
      <c r="G92" s="1">
        <f>E92/$H$35</f>
        <v>5.9299427409248473</v>
      </c>
      <c r="H92">
        <f>F92/C$90</f>
        <v>22.941176470588236</v>
      </c>
    </row>
    <row r="93" spans="1:14" x14ac:dyDescent="0.15">
      <c r="D93">
        <v>4.9000000000000002E-2</v>
      </c>
      <c r="E93" s="1">
        <f t="shared" si="5"/>
        <v>5.4782000000000004E-2</v>
      </c>
      <c r="F93">
        <v>6.8000000000000005E-2</v>
      </c>
      <c r="G93" s="1">
        <f>E93/$H$35</f>
        <v>7.2641798576329384</v>
      </c>
      <c r="H93">
        <f>F93/C$90</f>
        <v>40.000000000000007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6:F69"/>
  <sheetViews>
    <sheetView topLeftCell="A19" workbookViewId="0">
      <selection activeCell="H68" sqref="H68"/>
    </sheetView>
  </sheetViews>
  <sheetFormatPr baseColWidth="10" defaultRowHeight="13" x14ac:dyDescent="0.15"/>
  <sheetData>
    <row r="26" spans="1:6" x14ac:dyDescent="0.15">
      <c r="A26" t="s">
        <v>60</v>
      </c>
      <c r="C26" t="s">
        <v>61</v>
      </c>
      <c r="E26" t="s">
        <v>62</v>
      </c>
    </row>
    <row r="27" spans="1:6" x14ac:dyDescent="0.15">
      <c r="A27" t="s">
        <v>63</v>
      </c>
      <c r="B27" t="s">
        <v>64</v>
      </c>
      <c r="C27" t="s">
        <v>63</v>
      </c>
      <c r="D27" t="s">
        <v>64</v>
      </c>
      <c r="E27" t="s">
        <v>63</v>
      </c>
      <c r="F27" t="s">
        <v>64</v>
      </c>
    </row>
    <row r="28" spans="1:6" x14ac:dyDescent="0.15">
      <c r="A28">
        <v>5.1999999999999998E-2</v>
      </c>
      <c r="B28">
        <v>5.3999999999999999E-2</v>
      </c>
      <c r="C28">
        <v>7.5999999999999998E-2</v>
      </c>
      <c r="D28">
        <v>7.6999999999999999E-2</v>
      </c>
      <c r="E28">
        <v>8.7999999999999995E-2</v>
      </c>
      <c r="F28">
        <v>9.6000000000000002E-2</v>
      </c>
    </row>
    <row r="29" spans="1:6" x14ac:dyDescent="0.15">
      <c r="A29">
        <v>0.106</v>
      </c>
      <c r="B29">
        <v>0.107</v>
      </c>
      <c r="C29">
        <v>0.151</v>
      </c>
      <c r="D29">
        <v>0.16400000000000001</v>
      </c>
      <c r="E29">
        <v>0.14699999999999999</v>
      </c>
      <c r="F29">
        <v>0.152</v>
      </c>
    </row>
    <row r="30" spans="1:6" x14ac:dyDescent="0.15">
      <c r="A30">
        <v>0.16300000000000001</v>
      </c>
      <c r="B30">
        <v>0.16</v>
      </c>
      <c r="C30">
        <v>0.217</v>
      </c>
      <c r="D30">
        <v>0.23799999999999999</v>
      </c>
      <c r="E30">
        <v>1.0840000000000001</v>
      </c>
      <c r="F30">
        <v>2.0099999999999998</v>
      </c>
    </row>
    <row r="31" spans="1:6" x14ac:dyDescent="0.15">
      <c r="A31">
        <v>0.26100000000000001</v>
      </c>
      <c r="B31">
        <v>0.28899999999999998</v>
      </c>
      <c r="C31">
        <v>0.308</v>
      </c>
      <c r="D31">
        <v>0.32500000000000001</v>
      </c>
      <c r="E31">
        <v>1.427</v>
      </c>
      <c r="F31">
        <v>3.702</v>
      </c>
    </row>
    <row r="32" spans="1:6" x14ac:dyDescent="0.15">
      <c r="A32">
        <v>3.0830000000000002</v>
      </c>
      <c r="B32">
        <v>10.904</v>
      </c>
      <c r="C32">
        <v>0.37</v>
      </c>
      <c r="D32">
        <v>0.42899999999999999</v>
      </c>
      <c r="E32">
        <v>10.361000000000001</v>
      </c>
      <c r="F32">
        <v>609.19000000000005</v>
      </c>
    </row>
    <row r="33" spans="1:6" x14ac:dyDescent="0.15">
      <c r="A33">
        <v>4.6100000000000003</v>
      </c>
      <c r="B33">
        <v>62.039000000000001</v>
      </c>
      <c r="C33">
        <v>0.46200000000000002</v>
      </c>
      <c r="D33">
        <v>0.53500000000000003</v>
      </c>
      <c r="E33">
        <v>15.173</v>
      </c>
      <c r="F33">
        <v>3087.7350000000001</v>
      </c>
    </row>
    <row r="34" spans="1:6" x14ac:dyDescent="0.15">
      <c r="A34">
        <v>5.4779999999999998</v>
      </c>
      <c r="B34">
        <v>89.61</v>
      </c>
      <c r="C34">
        <v>0.52400000000000002</v>
      </c>
      <c r="D34">
        <v>0.63700000000000001</v>
      </c>
      <c r="E34">
        <v>16.584</v>
      </c>
      <c r="F34">
        <v>6236.0050000000001</v>
      </c>
    </row>
    <row r="35" spans="1:6" x14ac:dyDescent="0.15">
      <c r="A35">
        <v>5.9379999999999997</v>
      </c>
      <c r="B35">
        <v>138.71299999999999</v>
      </c>
      <c r="C35">
        <v>0.60299999999999998</v>
      </c>
      <c r="D35">
        <v>0.73199999999999998</v>
      </c>
      <c r="E35">
        <v>22.309000000000001</v>
      </c>
      <c r="F35">
        <v>37638.074000000001</v>
      </c>
    </row>
    <row r="36" spans="1:6" x14ac:dyDescent="0.15">
      <c r="C36">
        <v>0.66200000000000003</v>
      </c>
      <c r="D36">
        <v>0.872</v>
      </c>
    </row>
    <row r="37" spans="1:6" x14ac:dyDescent="0.15">
      <c r="C37">
        <v>7.5170000000000003</v>
      </c>
      <c r="D37">
        <v>172.10900000000001</v>
      </c>
    </row>
    <row r="38" spans="1:6" x14ac:dyDescent="0.15">
      <c r="C38">
        <v>11.901</v>
      </c>
      <c r="D38">
        <v>936.02599999999995</v>
      </c>
    </row>
    <row r="42" spans="1:6" x14ac:dyDescent="0.15">
      <c r="A42" t="s">
        <v>63</v>
      </c>
      <c r="B42" t="s">
        <v>64</v>
      </c>
      <c r="C42" t="s">
        <v>65</v>
      </c>
      <c r="D42" t="s">
        <v>35</v>
      </c>
      <c r="E42" t="s">
        <v>66</v>
      </c>
      <c r="F42" t="s">
        <v>67</v>
      </c>
    </row>
    <row r="43" spans="1:6" x14ac:dyDescent="0.15">
      <c r="A43">
        <v>5.1999999999999998E-2</v>
      </c>
      <c r="B43">
        <v>5.3999999999999999E-2</v>
      </c>
      <c r="C43">
        <f t="shared" ref="C43:C69" si="0">A43*EXP(0.35*A43)</f>
        <v>5.2955064726183818E-2</v>
      </c>
      <c r="D43">
        <f>A43*0.35*EXP(1)</f>
        <v>4.9472729277954611E-2</v>
      </c>
      <c r="E43">
        <f>1/(0.35*EXP(1))*D43*(EXP(1/EXP(1))^(D43))</f>
        <v>5.2955064726183811E-2</v>
      </c>
      <c r="F43">
        <f t="shared" ref="F43:F69" si="1">A43*(1+D43)</f>
        <v>5.4572581922453636E-2</v>
      </c>
    </row>
    <row r="44" spans="1:6" x14ac:dyDescent="0.15">
      <c r="A44">
        <v>7.5999999999999998E-2</v>
      </c>
      <c r="B44">
        <v>7.6999999999999999E-2</v>
      </c>
      <c r="C44">
        <f t="shared" si="0"/>
        <v>7.8048727274384652E-2</v>
      </c>
      <c r="D44">
        <f t="shared" ref="D44:D69" si="2">A44*0.35*EXP(1)</f>
        <v>7.2306296637010589E-2</v>
      </c>
      <c r="E44">
        <f t="shared" ref="E44:E69" si="3">1/(0.35*EXP(1))*D44*(EXP(1/EXP(1))^(D44))</f>
        <v>7.8048727274384638E-2</v>
      </c>
      <c r="F44">
        <f t="shared" si="1"/>
        <v>8.1495278544412797E-2</v>
      </c>
    </row>
    <row r="45" spans="1:6" x14ac:dyDescent="0.15">
      <c r="A45">
        <v>8.7999999999999995E-2</v>
      </c>
      <c r="B45">
        <v>9.6000000000000002E-2</v>
      </c>
      <c r="C45">
        <f t="shared" si="0"/>
        <v>9.0752572012439067E-2</v>
      </c>
      <c r="D45">
        <f t="shared" si="2"/>
        <v>8.3723080316538578E-2</v>
      </c>
      <c r="E45">
        <f t="shared" si="3"/>
        <v>9.0752572012439039E-2</v>
      </c>
      <c r="F45">
        <f t="shared" si="1"/>
        <v>9.5367631067855382E-2</v>
      </c>
    </row>
    <row r="46" spans="1:6" x14ac:dyDescent="0.15">
      <c r="A46">
        <v>0.106</v>
      </c>
      <c r="B46">
        <v>0.107</v>
      </c>
      <c r="C46">
        <f t="shared" si="0"/>
        <v>0.11000646030486116</v>
      </c>
      <c r="D46">
        <f t="shared" si="2"/>
        <v>0.10084825583583056</v>
      </c>
      <c r="E46">
        <f t="shared" si="3"/>
        <v>0.11000646030486115</v>
      </c>
      <c r="F46">
        <f t="shared" si="1"/>
        <v>0.11668991511859804</v>
      </c>
    </row>
    <row r="47" spans="1:6" x14ac:dyDescent="0.15">
      <c r="A47">
        <v>0.14699999999999999</v>
      </c>
      <c r="B47">
        <v>0.152</v>
      </c>
      <c r="C47">
        <f t="shared" si="0"/>
        <v>0.15476109213688216</v>
      </c>
      <c r="D47">
        <f t="shared" si="2"/>
        <v>0.13985560007421785</v>
      </c>
      <c r="E47">
        <f t="shared" si="3"/>
        <v>0.15476109213688213</v>
      </c>
      <c r="F47">
        <f t="shared" si="1"/>
        <v>0.16755877321091003</v>
      </c>
    </row>
    <row r="48" spans="1:6" x14ac:dyDescent="0.15">
      <c r="A48">
        <v>0.151</v>
      </c>
      <c r="B48">
        <v>0.16400000000000001</v>
      </c>
      <c r="C48">
        <f t="shared" si="0"/>
        <v>0.15919499537268358</v>
      </c>
      <c r="D48">
        <f t="shared" si="2"/>
        <v>0.14366119463406052</v>
      </c>
      <c r="E48">
        <f t="shared" si="3"/>
        <v>0.15919499537268358</v>
      </c>
      <c r="F48">
        <f t="shared" si="1"/>
        <v>0.17269284038974311</v>
      </c>
    </row>
    <row r="49" spans="1:6" x14ac:dyDescent="0.15">
      <c r="A49">
        <v>0.16300000000000001</v>
      </c>
      <c r="B49">
        <v>0.16</v>
      </c>
      <c r="C49">
        <f t="shared" si="0"/>
        <v>0.17256952535502595</v>
      </c>
      <c r="D49">
        <f t="shared" si="2"/>
        <v>0.15507797831358852</v>
      </c>
      <c r="E49">
        <f t="shared" si="3"/>
        <v>0.17256952535502595</v>
      </c>
      <c r="F49">
        <f t="shared" si="1"/>
        <v>0.18827771046511493</v>
      </c>
    </row>
    <row r="50" spans="1:6" x14ac:dyDescent="0.15">
      <c r="A50">
        <v>0.217</v>
      </c>
      <c r="B50">
        <v>0.23799999999999999</v>
      </c>
      <c r="C50">
        <f t="shared" si="0"/>
        <v>0.23412317214086473</v>
      </c>
      <c r="D50">
        <f t="shared" si="2"/>
        <v>0.20645350487146444</v>
      </c>
      <c r="E50">
        <f t="shared" si="3"/>
        <v>0.2341231721408647</v>
      </c>
      <c r="F50">
        <f t="shared" si="1"/>
        <v>0.26180041055710779</v>
      </c>
    </row>
    <row r="51" spans="1:6" x14ac:dyDescent="0.15">
      <c r="A51">
        <v>0.26100000000000001</v>
      </c>
      <c r="B51">
        <v>0.28899999999999998</v>
      </c>
      <c r="C51">
        <f t="shared" si="0"/>
        <v>0.28596528070737687</v>
      </c>
      <c r="D51">
        <f t="shared" si="2"/>
        <v>0.24831504502973378</v>
      </c>
      <c r="E51">
        <f t="shared" si="3"/>
        <v>0.28596528070737687</v>
      </c>
      <c r="F51">
        <f t="shared" si="1"/>
        <v>0.32581022675276056</v>
      </c>
    </row>
    <row r="52" spans="1:6" x14ac:dyDescent="0.15">
      <c r="A52">
        <v>0.308</v>
      </c>
      <c r="B52">
        <v>0.32500000000000001</v>
      </c>
      <c r="C52">
        <f t="shared" si="0"/>
        <v>0.3430580870999928</v>
      </c>
      <c r="D52">
        <f t="shared" si="2"/>
        <v>0.29303078110788505</v>
      </c>
      <c r="E52">
        <f t="shared" si="3"/>
        <v>0.3430580870999928</v>
      </c>
      <c r="F52">
        <f t="shared" si="1"/>
        <v>0.39825348058122856</v>
      </c>
    </row>
    <row r="53" spans="1:6" x14ac:dyDescent="0.15">
      <c r="A53">
        <v>0.37</v>
      </c>
      <c r="B53">
        <v>0.42899999999999999</v>
      </c>
      <c r="C53">
        <f t="shared" si="0"/>
        <v>0.42115587124123044</v>
      </c>
      <c r="D53">
        <f t="shared" si="2"/>
        <v>0.35201749678544636</v>
      </c>
      <c r="E53">
        <f t="shared" si="3"/>
        <v>0.42115587124123033</v>
      </c>
      <c r="F53">
        <f t="shared" si="1"/>
        <v>0.50024647381061516</v>
      </c>
    </row>
    <row r="54" spans="1:6" x14ac:dyDescent="0.15">
      <c r="A54">
        <v>0.46200000000000002</v>
      </c>
      <c r="B54">
        <v>0.53500000000000003</v>
      </c>
      <c r="C54">
        <f t="shared" si="0"/>
        <v>0.54308448170454482</v>
      </c>
      <c r="D54">
        <f t="shared" si="2"/>
        <v>0.43954617166182763</v>
      </c>
      <c r="E54">
        <f t="shared" si="3"/>
        <v>0.54308448170454482</v>
      </c>
      <c r="F54">
        <f t="shared" si="1"/>
        <v>0.66507033130776438</v>
      </c>
    </row>
    <row r="55" spans="1:6" x14ac:dyDescent="0.15">
      <c r="A55">
        <v>0.52400000000000002</v>
      </c>
      <c r="B55">
        <v>0.63700000000000001</v>
      </c>
      <c r="C55">
        <f t="shared" si="0"/>
        <v>0.62947849087914154</v>
      </c>
      <c r="D55">
        <f t="shared" si="2"/>
        <v>0.49853288733938889</v>
      </c>
      <c r="E55">
        <f t="shared" si="3"/>
        <v>0.62947849087914143</v>
      </c>
      <c r="F55">
        <f t="shared" si="1"/>
        <v>0.78523123296583974</v>
      </c>
    </row>
    <row r="56" spans="1:6" x14ac:dyDescent="0.15">
      <c r="A56">
        <v>0.60299999999999998</v>
      </c>
      <c r="B56">
        <v>0.73199999999999998</v>
      </c>
      <c r="C56">
        <f t="shared" si="0"/>
        <v>0.74468938364035653</v>
      </c>
      <c r="D56">
        <f t="shared" si="2"/>
        <v>0.57369337989628144</v>
      </c>
      <c r="E56">
        <f t="shared" si="3"/>
        <v>0.74468938364035653</v>
      </c>
      <c r="F56">
        <f t="shared" si="1"/>
        <v>0.94893710807745779</v>
      </c>
    </row>
    <row r="57" spans="1:6" x14ac:dyDescent="0.15">
      <c r="A57">
        <v>0.66200000000000003</v>
      </c>
      <c r="B57">
        <v>0.872</v>
      </c>
      <c r="C57">
        <f t="shared" si="0"/>
        <v>0.83461083967120886</v>
      </c>
      <c r="D57">
        <f t="shared" si="2"/>
        <v>0.62982589965396074</v>
      </c>
      <c r="E57">
        <f t="shared" si="3"/>
        <v>0.83461083967120886</v>
      </c>
      <c r="F57">
        <f t="shared" si="1"/>
        <v>1.078944745570922</v>
      </c>
    </row>
    <row r="58" spans="1:6" x14ac:dyDescent="0.15">
      <c r="A58">
        <v>1.0840000000000001</v>
      </c>
      <c r="B58">
        <v>2.0099999999999998</v>
      </c>
      <c r="C58">
        <f t="shared" si="0"/>
        <v>1.5841657103136451</v>
      </c>
      <c r="D58">
        <f t="shared" si="2"/>
        <v>1.0313161257173618</v>
      </c>
      <c r="E58">
        <f t="shared" si="3"/>
        <v>1.5841657103136448</v>
      </c>
      <c r="F58">
        <f t="shared" si="1"/>
        <v>2.2019466802776204</v>
      </c>
    </row>
    <row r="59" spans="1:6" x14ac:dyDescent="0.15">
      <c r="A59">
        <v>1.427</v>
      </c>
      <c r="B59">
        <v>3.702</v>
      </c>
      <c r="C59">
        <f t="shared" si="0"/>
        <v>2.3514316101842385</v>
      </c>
      <c r="D59">
        <f t="shared" si="2"/>
        <v>1.35764585922387</v>
      </c>
      <c r="E59">
        <f t="shared" si="3"/>
        <v>2.3514316101842381</v>
      </c>
      <c r="F59">
        <f t="shared" si="1"/>
        <v>3.3643606411124627</v>
      </c>
    </row>
    <row r="60" spans="1:6" x14ac:dyDescent="0.15">
      <c r="A60">
        <v>3.0830000000000002</v>
      </c>
      <c r="B60">
        <v>10.904</v>
      </c>
      <c r="C60">
        <f t="shared" si="0"/>
        <v>9.0698266265841418</v>
      </c>
      <c r="D60">
        <f t="shared" si="2"/>
        <v>2.933162006998733</v>
      </c>
      <c r="E60">
        <f t="shared" si="3"/>
        <v>9.0698266265841401</v>
      </c>
      <c r="F60">
        <f t="shared" si="1"/>
        <v>12.125938467577095</v>
      </c>
    </row>
    <row r="61" spans="1:6" x14ac:dyDescent="0.15">
      <c r="A61">
        <v>4.6100000000000003</v>
      </c>
      <c r="B61">
        <v>62.039000000000001</v>
      </c>
      <c r="C61">
        <f t="shared" si="0"/>
        <v>23.143821545050837</v>
      </c>
      <c r="D61">
        <f t="shared" si="2"/>
        <v>4.3859477302186693</v>
      </c>
      <c r="E61">
        <f t="shared" si="3"/>
        <v>23.143821545050834</v>
      </c>
      <c r="F61">
        <f t="shared" si="1"/>
        <v>24.829219036308068</v>
      </c>
    </row>
    <row r="62" spans="1:6" x14ac:dyDescent="0.15">
      <c r="A62">
        <v>5.4779999999999998</v>
      </c>
      <c r="B62">
        <v>89.61</v>
      </c>
      <c r="C62">
        <f t="shared" si="0"/>
        <v>37.264460500137197</v>
      </c>
      <c r="D62">
        <f t="shared" si="2"/>
        <v>5.211761749704527</v>
      </c>
      <c r="E62">
        <f t="shared" si="3"/>
        <v>37.264460500137197</v>
      </c>
      <c r="F62">
        <f t="shared" si="1"/>
        <v>34.028030864881394</v>
      </c>
    </row>
    <row r="63" spans="1:6" x14ac:dyDescent="0.15">
      <c r="A63">
        <v>5.9379999999999997</v>
      </c>
      <c r="B63">
        <v>138.71299999999999</v>
      </c>
      <c r="C63">
        <f t="shared" si="0"/>
        <v>47.449803143911531</v>
      </c>
      <c r="D63">
        <f t="shared" si="2"/>
        <v>5.6494051240864325</v>
      </c>
      <c r="E63">
        <f t="shared" si="3"/>
        <v>47.449803143911502</v>
      </c>
      <c r="F63">
        <f t="shared" si="1"/>
        <v>39.484167626825233</v>
      </c>
    </row>
    <row r="64" spans="1:6" x14ac:dyDescent="0.15">
      <c r="A64">
        <v>7.5170000000000003</v>
      </c>
      <c r="B64">
        <v>172.10900000000001</v>
      </c>
      <c r="C64">
        <f t="shared" si="0"/>
        <v>104.38825010162228</v>
      </c>
      <c r="D64">
        <f t="shared" si="2"/>
        <v>7.1516635765843244</v>
      </c>
      <c r="E64">
        <f t="shared" si="3"/>
        <v>104.38825010162223</v>
      </c>
      <c r="F64">
        <f t="shared" si="1"/>
        <v>61.276055105184369</v>
      </c>
    </row>
    <row r="65" spans="1:6" x14ac:dyDescent="0.15">
      <c r="A65">
        <v>10.361000000000001</v>
      </c>
      <c r="B65">
        <v>609.19000000000005</v>
      </c>
      <c r="C65">
        <f t="shared" si="0"/>
        <v>389.31888254081554</v>
      </c>
      <c r="D65">
        <f t="shared" si="2"/>
        <v>9.8574413086324579</v>
      </c>
      <c r="E65">
        <f t="shared" si="3"/>
        <v>389.31888254081537</v>
      </c>
      <c r="F65">
        <f t="shared" si="1"/>
        <v>112.49394939874091</v>
      </c>
    </row>
    <row r="66" spans="1:6" x14ac:dyDescent="0.15">
      <c r="A66">
        <v>11.901</v>
      </c>
      <c r="B66">
        <v>936.02599999999995</v>
      </c>
      <c r="C66">
        <f t="shared" si="0"/>
        <v>766.60557876309895</v>
      </c>
      <c r="D66">
        <f t="shared" si="2"/>
        <v>11.322595214171884</v>
      </c>
      <c r="E66">
        <f t="shared" si="3"/>
        <v>766.60557876309826</v>
      </c>
      <c r="F66">
        <f t="shared" si="1"/>
        <v>146.65120564385958</v>
      </c>
    </row>
    <row r="67" spans="1:6" x14ac:dyDescent="0.15">
      <c r="A67">
        <v>15.173</v>
      </c>
      <c r="B67">
        <v>3087.7350000000001</v>
      </c>
      <c r="C67">
        <f t="shared" si="0"/>
        <v>3071.9491228037718</v>
      </c>
      <c r="D67">
        <f t="shared" si="2"/>
        <v>14.435571564123181</v>
      </c>
      <c r="E67">
        <f t="shared" si="3"/>
        <v>3071.9491228037687</v>
      </c>
      <c r="F67">
        <f t="shared" si="1"/>
        <v>234.20392734244103</v>
      </c>
    </row>
    <row r="68" spans="1:6" x14ac:dyDescent="0.15">
      <c r="A68">
        <v>16.584</v>
      </c>
      <c r="B68">
        <v>6236.0050000000001</v>
      </c>
      <c r="C68">
        <f t="shared" si="0"/>
        <v>5501.8428301814611</v>
      </c>
      <c r="D68">
        <f t="shared" si="2"/>
        <v>15.77799504510768</v>
      </c>
      <c r="E68">
        <f t="shared" si="3"/>
        <v>5501.8428301814565</v>
      </c>
      <c r="F68">
        <f t="shared" si="1"/>
        <v>278.24626982806575</v>
      </c>
    </row>
    <row r="69" spans="1:6" x14ac:dyDescent="0.15">
      <c r="A69">
        <v>22.309000000000001</v>
      </c>
      <c r="B69">
        <v>37638.074000000001</v>
      </c>
      <c r="C69">
        <f t="shared" si="0"/>
        <v>54892.948931749575</v>
      </c>
      <c r="D69">
        <f t="shared" si="2"/>
        <v>21.224752258882493</v>
      </c>
      <c r="E69">
        <f t="shared" si="3"/>
        <v>54892.948931749524</v>
      </c>
      <c r="F69">
        <f t="shared" si="1"/>
        <v>495.81199814340954</v>
      </c>
    </row>
  </sheetData>
  <sortState xmlns:xlrd2="http://schemas.microsoft.com/office/spreadsheetml/2017/richdata2" ref="A43:F69">
    <sortCondition ref="A43:A69"/>
  </sortState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1"/>
  <sheetViews>
    <sheetView workbookViewId="0">
      <pane ySplit="1" topLeftCell="A2" activePane="bottomLeft" state="frozen"/>
      <selection activeCell="M1" sqref="M1"/>
      <selection pane="bottomLeft" activeCell="E31" sqref="E31"/>
    </sheetView>
  </sheetViews>
  <sheetFormatPr baseColWidth="10" defaultRowHeight="13" x14ac:dyDescent="0.15"/>
  <cols>
    <col min="14" max="14" width="9" customWidth="1"/>
  </cols>
  <sheetData>
    <row r="1" spans="1:42" x14ac:dyDescent="0.15">
      <c r="A1" s="5" t="s">
        <v>120</v>
      </c>
      <c r="B1" t="s">
        <v>32</v>
      </c>
      <c r="C1" t="s">
        <v>38</v>
      </c>
      <c r="D1" t="s">
        <v>39</v>
      </c>
      <c r="E1" t="s">
        <v>37</v>
      </c>
      <c r="F1" t="s">
        <v>33</v>
      </c>
      <c r="G1" t="s">
        <v>34</v>
      </c>
      <c r="H1" t="s">
        <v>36</v>
      </c>
      <c r="I1" t="s">
        <v>50</v>
      </c>
      <c r="M1" t="s">
        <v>42</v>
      </c>
      <c r="N1" t="s">
        <v>49</v>
      </c>
      <c r="O1" t="s">
        <v>43</v>
      </c>
      <c r="P1" t="s">
        <v>44</v>
      </c>
      <c r="Q1" t="s">
        <v>45</v>
      </c>
      <c r="R1" t="s">
        <v>46</v>
      </c>
      <c r="S1" s="5" t="s">
        <v>130</v>
      </c>
      <c r="T1" s="5" t="s">
        <v>129</v>
      </c>
      <c r="U1" s="5" t="s">
        <v>131</v>
      </c>
      <c r="V1" t="s">
        <v>48</v>
      </c>
      <c r="W1" t="s">
        <v>38</v>
      </c>
      <c r="X1" t="s">
        <v>51</v>
      </c>
      <c r="Y1" t="s">
        <v>50</v>
      </c>
      <c r="Z1" t="s">
        <v>52</v>
      </c>
      <c r="AA1" t="s">
        <v>53</v>
      </c>
      <c r="AB1" t="s">
        <v>54</v>
      </c>
      <c r="AC1" t="s">
        <v>40</v>
      </c>
      <c r="AD1" t="s">
        <v>41</v>
      </c>
      <c r="AE1" s="5" t="s">
        <v>104</v>
      </c>
      <c r="AF1" t="s">
        <v>56</v>
      </c>
      <c r="AG1" t="s">
        <v>57</v>
      </c>
      <c r="AH1" t="s">
        <v>68</v>
      </c>
      <c r="AI1" t="s">
        <v>39</v>
      </c>
      <c r="AJ1" t="s">
        <v>35</v>
      </c>
      <c r="AK1" t="s">
        <v>70</v>
      </c>
      <c r="AL1" t="s">
        <v>100</v>
      </c>
      <c r="AM1" t="s">
        <v>91</v>
      </c>
      <c r="AN1" t="s">
        <v>72</v>
      </c>
      <c r="AO1" t="s">
        <v>71</v>
      </c>
      <c r="AP1" t="s">
        <v>73</v>
      </c>
    </row>
    <row r="2" spans="1:42" x14ac:dyDescent="0.15">
      <c r="A2" s="5" t="s">
        <v>122</v>
      </c>
      <c r="B2" s="1">
        <f>N2</f>
        <v>11185.983827493261</v>
      </c>
      <c r="C2" s="1">
        <f>W2</f>
        <v>1.7534999999999998</v>
      </c>
      <c r="D2" s="1">
        <v>5</v>
      </c>
      <c r="E2" s="1">
        <f t="shared" ref="E2:E14" si="0">AH2</f>
        <v>1.6524571149293961E-2</v>
      </c>
      <c r="F2">
        <v>0.7127</v>
      </c>
      <c r="G2" s="1">
        <f>1/D2/EXP(1)</f>
        <v>7.357588823428847E-2</v>
      </c>
      <c r="H2">
        <v>3</v>
      </c>
      <c r="I2" s="1">
        <f>Y2</f>
        <v>234.53614328196429</v>
      </c>
      <c r="J2" s="1"/>
      <c r="K2" s="1">
        <f>O2/L2</f>
        <v>0.34861295906264389</v>
      </c>
      <c r="L2" s="1">
        <f>0.3055*P2*0.0000000019^3*N2^1.5/300/1.38E-23</f>
        <v>23.952064267638281</v>
      </c>
      <c r="M2" s="1">
        <v>8300000</v>
      </c>
      <c r="N2">
        <f>M2/742</f>
        <v>11185.983827493261</v>
      </c>
      <c r="O2">
        <v>8.35</v>
      </c>
      <c r="P2">
        <v>40</v>
      </c>
      <c r="Q2">
        <v>3.78E-2</v>
      </c>
      <c r="R2" s="1">
        <v>3.0000000000000001E-3</v>
      </c>
      <c r="S2" s="1">
        <v>1.1950000000000001E-3</v>
      </c>
      <c r="T2" s="1">
        <f>R2/4</f>
        <v>7.5000000000000002E-4</v>
      </c>
      <c r="U2" s="1">
        <v>0.4</v>
      </c>
      <c r="V2" s="1">
        <f>6*P2*T2/Q2</f>
        <v>4.7619047619047619</v>
      </c>
      <c r="W2" s="1">
        <f>O2/V2</f>
        <v>1.7534999999999998</v>
      </c>
      <c r="X2">
        <v>1026</v>
      </c>
      <c r="Y2" s="1">
        <f>P2/SQRT(X2*T2*Q2)</f>
        <v>234.53614328196429</v>
      </c>
      <c r="Z2" s="1">
        <v>0.05</v>
      </c>
      <c r="AA2" s="1">
        <f>Z2/V2</f>
        <v>1.0500000000000001E-2</v>
      </c>
      <c r="AB2">
        <v>2.6</v>
      </c>
      <c r="AC2">
        <f>2*3/4*LN(AB2)</f>
        <v>1.4332671675411546</v>
      </c>
      <c r="AD2" s="1">
        <f>AC2/AA2</f>
        <v>136.50163500391946</v>
      </c>
      <c r="AE2" s="1">
        <v>7.9000000000000006E-6</v>
      </c>
      <c r="AF2" s="1">
        <f t="shared" ref="AF2:AF7" si="1">AE2*X$2/1000</f>
        <v>8.1054000000000004E-6</v>
      </c>
      <c r="AG2">
        <v>150</v>
      </c>
      <c r="AH2" s="1">
        <f>AF2*AG2*AI2*EXP(1)</f>
        <v>1.6524571149293961E-2</v>
      </c>
      <c r="AI2">
        <v>5</v>
      </c>
      <c r="AJ2" s="1">
        <f>AF2*AG2/0.77</f>
        <v>1.578974025974026E-3</v>
      </c>
      <c r="AK2">
        <v>0.32400000000000001</v>
      </c>
      <c r="AL2" s="1">
        <f>EXP(AI2*AG2*AF2)</f>
        <v>1.0060975649231521</v>
      </c>
      <c r="AM2" s="1">
        <f>2/3/AK2*AL2</f>
        <v>2.0701595986073089</v>
      </c>
      <c r="AN2">
        <v>0.63667101288292904</v>
      </c>
      <c r="AO2">
        <v>0.91875149295500502</v>
      </c>
      <c r="AP2">
        <v>0.28038081212027099</v>
      </c>
    </row>
    <row r="3" spans="1:42" x14ac:dyDescent="0.15">
      <c r="E3" s="1">
        <f t="shared" si="0"/>
        <v>2.0917178669992355E-2</v>
      </c>
      <c r="AE3" s="1">
        <v>1.0000000000000001E-5</v>
      </c>
      <c r="AF3" s="1">
        <f t="shared" si="1"/>
        <v>1.026E-5</v>
      </c>
      <c r="AG3">
        <v>150</v>
      </c>
      <c r="AH3" s="1">
        <f t="shared" ref="AH3:AH33" si="2">AF3*AG3*AI3*EXP(1)</f>
        <v>2.0917178669992355E-2</v>
      </c>
      <c r="AI3">
        <v>5</v>
      </c>
      <c r="AJ3" s="1">
        <f t="shared" ref="AJ3:AJ33" si="3">AF3*AG3/0.77</f>
        <v>1.9987012987012988E-3</v>
      </c>
      <c r="AK3">
        <v>0.39</v>
      </c>
      <c r="AL3" s="1">
        <f t="shared" ref="AL3:AL28" si="4">EXP(AI3*AG3*AF3)</f>
        <v>1.0077246825995205</v>
      </c>
      <c r="AM3" s="1">
        <f t="shared" ref="AM3:AM33" si="5">2/3/AK3*AL3</f>
        <v>1.7226062950419154</v>
      </c>
      <c r="AN3">
        <v>0.78331831635205196</v>
      </c>
      <c r="AO3">
        <v>1.1296840198086999</v>
      </c>
      <c r="AP3">
        <v>0.330886253486251</v>
      </c>
    </row>
    <row r="4" spans="1:42" x14ac:dyDescent="0.15">
      <c r="E4" s="1">
        <f t="shared" si="0"/>
        <v>6.6098284597175844E-2</v>
      </c>
      <c r="AE4" s="1">
        <v>3.1600000000000002E-5</v>
      </c>
      <c r="AF4" s="1">
        <f t="shared" si="1"/>
        <v>3.2421600000000001E-5</v>
      </c>
      <c r="AG4">
        <v>150</v>
      </c>
      <c r="AH4" s="1">
        <f t="shared" si="2"/>
        <v>6.6098284597175844E-2</v>
      </c>
      <c r="AI4">
        <v>5</v>
      </c>
      <c r="AJ4" s="1">
        <f t="shared" si="3"/>
        <v>6.3158961038961041E-3</v>
      </c>
      <c r="AK4">
        <v>0.80500000000000005</v>
      </c>
      <c r="AL4" s="1">
        <f t="shared" si="4"/>
        <v>1.0246142497000588</v>
      </c>
      <c r="AM4" s="1">
        <f t="shared" si="5"/>
        <v>0.84854182169777115</v>
      </c>
      <c r="AN4">
        <v>1.93139748211354</v>
      </c>
      <c r="AO4">
        <v>2.7403802138838702</v>
      </c>
      <c r="AP4">
        <v>0.66673378548898499</v>
      </c>
    </row>
    <row r="5" spans="1:42" x14ac:dyDescent="0.15">
      <c r="E5" s="1">
        <f t="shared" si="0"/>
        <v>0.20917178669992356</v>
      </c>
      <c r="AE5" s="1">
        <v>1E-4</v>
      </c>
      <c r="AF5" s="1">
        <f t="shared" si="1"/>
        <v>1.0260000000000001E-4</v>
      </c>
      <c r="AG5">
        <v>150</v>
      </c>
      <c r="AH5" s="1">
        <f t="shared" si="2"/>
        <v>0.20917178669992356</v>
      </c>
      <c r="AI5">
        <v>5</v>
      </c>
      <c r="AJ5" s="1">
        <f t="shared" si="3"/>
        <v>1.9987012987012991E-2</v>
      </c>
      <c r="AK5">
        <v>1.875</v>
      </c>
      <c r="AL5" s="1">
        <f t="shared" si="4"/>
        <v>1.0799880756388107</v>
      </c>
      <c r="AM5" s="1">
        <f t="shared" si="5"/>
        <v>0.38399576022713267</v>
      </c>
      <c r="AN5">
        <v>3.5302052704955602</v>
      </c>
      <c r="AO5">
        <v>4.8176862999112</v>
      </c>
      <c r="AP5">
        <v>0.92478651325347305</v>
      </c>
    </row>
    <row r="6" spans="1:42" x14ac:dyDescent="0.15">
      <c r="E6" s="1">
        <f t="shared" si="0"/>
        <v>0.66098284597175827</v>
      </c>
      <c r="AE6" s="1">
        <v>3.1599999999999998E-4</v>
      </c>
      <c r="AF6" s="1">
        <f t="shared" si="1"/>
        <v>3.24216E-4</v>
      </c>
      <c r="AG6">
        <v>150</v>
      </c>
      <c r="AH6" s="1">
        <f t="shared" si="2"/>
        <v>0.66098284597175827</v>
      </c>
      <c r="AI6">
        <v>5</v>
      </c>
      <c r="AJ6" s="1">
        <f t="shared" si="3"/>
        <v>6.3158961038961042E-2</v>
      </c>
      <c r="AK6">
        <v>5.87</v>
      </c>
      <c r="AL6" s="1">
        <f t="shared" si="4"/>
        <v>1.2752752019679208</v>
      </c>
      <c r="AM6" s="1">
        <f t="shared" si="5"/>
        <v>0.14483534377829876</v>
      </c>
      <c r="AN6">
        <v>5.14644662302433</v>
      </c>
      <c r="AO6">
        <v>6.8388320726921501</v>
      </c>
      <c r="AP6">
        <v>1.0258806572285299</v>
      </c>
    </row>
    <row r="7" spans="1:42" x14ac:dyDescent="0.15">
      <c r="E7" s="1">
        <f t="shared" si="0"/>
        <v>2.0917178669992356</v>
      </c>
      <c r="AE7" s="1">
        <v>1E-3</v>
      </c>
      <c r="AF7" s="1">
        <f t="shared" si="1"/>
        <v>1.026E-3</v>
      </c>
      <c r="AG7">
        <v>150</v>
      </c>
      <c r="AH7" s="1">
        <f t="shared" si="2"/>
        <v>2.0917178669992356</v>
      </c>
      <c r="AI7">
        <v>5</v>
      </c>
      <c r="AJ7" s="1">
        <f t="shared" si="3"/>
        <v>0.19987012987012986</v>
      </c>
      <c r="AK7">
        <v>18.178000000000001</v>
      </c>
      <c r="AL7" s="1">
        <f t="shared" si="4"/>
        <v>2.1586866405838148</v>
      </c>
      <c r="AM7" s="1">
        <f t="shared" si="5"/>
        <v>7.9168468866535169E-2</v>
      </c>
      <c r="AN7">
        <v>7.14371495421398</v>
      </c>
      <c r="AO7">
        <v>9.4959105200995708</v>
      </c>
      <c r="AP7">
        <v>1.05060092035018</v>
      </c>
    </row>
    <row r="8" spans="1:42" x14ac:dyDescent="0.15">
      <c r="A8" s="5" t="s">
        <v>123</v>
      </c>
      <c r="B8" s="1">
        <f>N8</f>
        <v>7681.9407008086255</v>
      </c>
      <c r="C8" s="1">
        <f>W8</f>
        <v>0.97439999999999993</v>
      </c>
      <c r="D8" s="1">
        <v>5</v>
      </c>
      <c r="E8" s="1">
        <f t="shared" si="0"/>
        <v>1.3340837107863322E-2</v>
      </c>
      <c r="F8">
        <v>0.7127</v>
      </c>
      <c r="G8" s="1">
        <f>1/D8/EXP(1)</f>
        <v>7.357588823428847E-2</v>
      </c>
      <c r="H8">
        <v>3</v>
      </c>
      <c r="I8" s="1">
        <f>Y8</f>
        <v>234.53614328196429</v>
      </c>
      <c r="J8" s="1"/>
      <c r="K8" s="1">
        <f>O8/L8</f>
        <v>0.34039242536930803</v>
      </c>
      <c r="L8" s="1">
        <f>0.3055*P8*0.0000000019^3*N8^1.5/300/1.38E-23</f>
        <v>13.631325652930853</v>
      </c>
      <c r="M8" s="1">
        <v>5700000</v>
      </c>
      <c r="N8">
        <f>M8/742</f>
        <v>7681.9407008086255</v>
      </c>
      <c r="O8">
        <v>4.6399999999999997</v>
      </c>
      <c r="P8">
        <v>40</v>
      </c>
      <c r="Q8">
        <v>3.78E-2</v>
      </c>
      <c r="R8" s="1">
        <v>3.0000000000000001E-3</v>
      </c>
      <c r="S8" s="1">
        <v>1.1950000000000001E-3</v>
      </c>
      <c r="T8" s="1">
        <f>R8/4</f>
        <v>7.5000000000000002E-4</v>
      </c>
      <c r="U8" s="1">
        <v>0.3</v>
      </c>
      <c r="V8" s="1">
        <f>6*P8*T8/Q8</f>
        <v>4.7619047619047619</v>
      </c>
      <c r="W8" s="1">
        <f>O8/V8</f>
        <v>0.97439999999999993</v>
      </c>
      <c r="X8">
        <v>1026</v>
      </c>
      <c r="Y8" s="1">
        <f>P8/SQRT(X8*T8*Q8)</f>
        <v>234.53614328196429</v>
      </c>
      <c r="Z8" s="1">
        <v>0.05</v>
      </c>
      <c r="AA8" s="1">
        <f>Z8/V8</f>
        <v>1.0500000000000001E-2</v>
      </c>
      <c r="AB8">
        <v>2.6</v>
      </c>
      <c r="AC8">
        <f>2*3/4*LN(AB8)</f>
        <v>1.4332671675411546</v>
      </c>
      <c r="AD8" s="1">
        <f>AC8/AA8</f>
        <v>136.50163500391946</v>
      </c>
      <c r="AE8" s="1">
        <v>7.9000000000000006E-6</v>
      </c>
      <c r="AF8" s="1">
        <f t="shared" ref="AF8:AF13" si="6">AE8*X$8/1000</f>
        <v>8.1054000000000004E-6</v>
      </c>
      <c r="AG8">
        <v>121.1</v>
      </c>
      <c r="AH8" s="1">
        <f t="shared" si="2"/>
        <v>1.3340837107863322E-2</v>
      </c>
      <c r="AI8">
        <v>5</v>
      </c>
      <c r="AJ8" s="1">
        <f t="shared" si="3"/>
        <v>1.2747583636363634E-3</v>
      </c>
      <c r="AK8">
        <v>0.48599999999999999</v>
      </c>
      <c r="AL8" s="1">
        <f t="shared" si="4"/>
        <v>1.0049198827734933</v>
      </c>
      <c r="AM8" s="1">
        <f t="shared" si="5"/>
        <v>1.378490922871733</v>
      </c>
      <c r="AN8">
        <v>0.52428479977790399</v>
      </c>
      <c r="AO8">
        <v>0.74894764956490401</v>
      </c>
      <c r="AP8">
        <v>0.28034764649121502</v>
      </c>
    </row>
    <row r="9" spans="1:42" x14ac:dyDescent="0.15">
      <c r="E9" s="1">
        <f t="shared" si="0"/>
        <v>1.6887135579573824E-2</v>
      </c>
      <c r="AE9" s="1">
        <v>1.0000000000000001E-5</v>
      </c>
      <c r="AF9" s="1">
        <f t="shared" si="6"/>
        <v>1.026E-5</v>
      </c>
      <c r="AG9">
        <v>121.1</v>
      </c>
      <c r="AH9" s="1">
        <f t="shared" si="2"/>
        <v>1.6887135579573824E-2</v>
      </c>
      <c r="AI9">
        <v>5</v>
      </c>
      <c r="AJ9" s="1">
        <f t="shared" si="3"/>
        <v>1.6136181818181816E-3</v>
      </c>
      <c r="AK9">
        <v>0.52300000000000002</v>
      </c>
      <c r="AL9" s="1">
        <f t="shared" si="4"/>
        <v>1.0062317671661101</v>
      </c>
      <c r="AM9" s="1">
        <f t="shared" si="5"/>
        <v>1.2826408759287571</v>
      </c>
      <c r="AN9">
        <v>0.64208628537408596</v>
      </c>
      <c r="AO9">
        <v>0.94246335563235395</v>
      </c>
      <c r="AP9">
        <v>0.33834158287259303</v>
      </c>
    </row>
    <row r="10" spans="1:42" x14ac:dyDescent="0.15">
      <c r="E10" s="1">
        <f t="shared" si="0"/>
        <v>5.3363348431453288E-2</v>
      </c>
      <c r="AE10" s="1">
        <v>3.1600000000000002E-5</v>
      </c>
      <c r="AF10" s="1">
        <f t="shared" si="6"/>
        <v>3.2421600000000001E-5</v>
      </c>
      <c r="AG10">
        <v>121.1</v>
      </c>
      <c r="AH10" s="1">
        <f t="shared" si="2"/>
        <v>5.3363348431453288E-2</v>
      </c>
      <c r="AI10">
        <v>5</v>
      </c>
      <c r="AJ10" s="1">
        <f t="shared" si="3"/>
        <v>5.0990334545454536E-3</v>
      </c>
      <c r="AK10">
        <v>0.73299999999999998</v>
      </c>
      <c r="AL10" s="1">
        <f t="shared" si="4"/>
        <v>1.0198252395067982</v>
      </c>
      <c r="AM10" s="1">
        <f t="shared" si="5"/>
        <v>0.92753546112487317</v>
      </c>
      <c r="AN10">
        <v>1.5895386940346701</v>
      </c>
      <c r="AO10">
        <v>2.2462699597796099</v>
      </c>
      <c r="AP10">
        <v>0.66506700887682002</v>
      </c>
    </row>
    <row r="11" spans="1:42" x14ac:dyDescent="0.15">
      <c r="E11" s="1">
        <f t="shared" si="0"/>
        <v>0.16887135579573828</v>
      </c>
      <c r="AE11" s="1">
        <v>1E-4</v>
      </c>
      <c r="AF11" s="1">
        <f t="shared" si="6"/>
        <v>1.0260000000000001E-4</v>
      </c>
      <c r="AG11">
        <v>121.1</v>
      </c>
      <c r="AH11" s="1">
        <f t="shared" si="2"/>
        <v>0.16887135579573828</v>
      </c>
      <c r="AI11">
        <v>5</v>
      </c>
      <c r="AJ11" s="1">
        <f t="shared" si="3"/>
        <v>1.613618181818182E-2</v>
      </c>
      <c r="AK11">
        <v>1.2769999999999999</v>
      </c>
      <c r="AL11" s="1">
        <f t="shared" si="4"/>
        <v>1.0640946034671936</v>
      </c>
      <c r="AM11" s="1">
        <f t="shared" si="5"/>
        <v>0.55551793446473174</v>
      </c>
      <c r="AN11">
        <v>2.8697106020554299</v>
      </c>
      <c r="AO11">
        <v>3.8983411431819599</v>
      </c>
      <c r="AP11">
        <v>0.92908890628315399</v>
      </c>
    </row>
    <row r="12" spans="1:42" x14ac:dyDescent="0.15">
      <c r="E12" s="1">
        <f t="shared" si="0"/>
        <v>0.53363348431453284</v>
      </c>
      <c r="AE12" s="1">
        <v>3.1599999999999998E-4</v>
      </c>
      <c r="AF12" s="1">
        <f t="shared" si="6"/>
        <v>3.24216E-4</v>
      </c>
      <c r="AG12">
        <v>121.1</v>
      </c>
      <c r="AH12" s="1">
        <f t="shared" si="2"/>
        <v>0.53363348431453284</v>
      </c>
      <c r="AI12">
        <v>5</v>
      </c>
      <c r="AJ12" s="1">
        <f t="shared" si="3"/>
        <v>5.0990334545454541E-2</v>
      </c>
      <c r="AK12">
        <v>5.69</v>
      </c>
      <c r="AL12" s="1">
        <f t="shared" si="4"/>
        <v>1.2169074798684527</v>
      </c>
      <c r="AM12" s="1">
        <f t="shared" si="5"/>
        <v>0.14257849793420652</v>
      </c>
      <c r="AN12">
        <v>4.15235493230547</v>
      </c>
      <c r="AO12">
        <v>5.4916198186965399</v>
      </c>
      <c r="AP12">
        <v>1.0316511869403</v>
      </c>
    </row>
    <row r="13" spans="1:42" x14ac:dyDescent="0.15">
      <c r="E13" s="1">
        <f t="shared" si="0"/>
        <v>1.6887135579573824</v>
      </c>
      <c r="AE13" s="1">
        <v>1E-3</v>
      </c>
      <c r="AF13" s="1">
        <f t="shared" si="6"/>
        <v>1.026E-3</v>
      </c>
      <c r="AG13">
        <v>121.1</v>
      </c>
      <c r="AH13" s="1">
        <f t="shared" si="2"/>
        <v>1.6887135579573824</v>
      </c>
      <c r="AI13">
        <v>5</v>
      </c>
      <c r="AJ13" s="1">
        <f t="shared" si="3"/>
        <v>0.16136181818181819</v>
      </c>
      <c r="AL13" s="1">
        <f t="shared" si="4"/>
        <v>1.8612401260650087</v>
      </c>
      <c r="AM13" s="1"/>
      <c r="AN13">
        <v>5.7754003765356501</v>
      </c>
      <c r="AO13">
        <v>7.6364220787399102</v>
      </c>
      <c r="AP13">
        <v>1.0583460194383401</v>
      </c>
    </row>
    <row r="14" spans="1:42" x14ac:dyDescent="0.15">
      <c r="A14" s="5" t="s">
        <v>124</v>
      </c>
      <c r="B14" s="1">
        <f>N14</f>
        <v>3773.5849056603774</v>
      </c>
      <c r="C14" s="1">
        <f>W14</f>
        <v>0.33105882352941168</v>
      </c>
      <c r="D14" s="1">
        <v>5</v>
      </c>
      <c r="E14" s="1">
        <f t="shared" si="0"/>
        <v>5.0435501209085565E-3</v>
      </c>
      <c r="F14">
        <v>0.7127</v>
      </c>
      <c r="G14" s="1">
        <f>1/D14/EXP(1)</f>
        <v>7.357588823428847E-2</v>
      </c>
      <c r="H14">
        <v>3</v>
      </c>
      <c r="I14" s="1">
        <f>Y14</f>
        <v>299.03358268450444</v>
      </c>
      <c r="J14" s="1"/>
      <c r="K14" s="1">
        <f>O14/L14</f>
        <v>0.3359100641844473</v>
      </c>
      <c r="L14" s="1">
        <f>0.3055*P14*0.0000000019^3*N14^1.5/300/1.38E-23</f>
        <v>5.9837445028033285</v>
      </c>
      <c r="M14" s="1">
        <v>2800000</v>
      </c>
      <c r="N14">
        <f>M14/742</f>
        <v>3773.5849056603774</v>
      </c>
      <c r="O14">
        <v>2.0099999999999998</v>
      </c>
      <c r="P14">
        <v>51</v>
      </c>
      <c r="Q14">
        <v>3.78E-2</v>
      </c>
      <c r="R14" s="1">
        <v>3.0000000000000001E-3</v>
      </c>
      <c r="S14" s="1">
        <v>1.1950000000000001E-3</v>
      </c>
      <c r="T14" s="1">
        <f>R14/4</f>
        <v>7.5000000000000002E-4</v>
      </c>
      <c r="U14" s="1">
        <v>0.3</v>
      </c>
      <c r="V14" s="1">
        <f>6*P14*T14/Q14</f>
        <v>6.0714285714285721</v>
      </c>
      <c r="W14" s="1">
        <f>O14/V14</f>
        <v>0.33105882352941168</v>
      </c>
      <c r="X14">
        <v>1026</v>
      </c>
      <c r="Y14" s="1">
        <f>P14/SQRT(X14*T14*Q14)</f>
        <v>299.03358268450444</v>
      </c>
      <c r="Z14" s="1">
        <v>0.05</v>
      </c>
      <c r="AA14" s="1">
        <f>Z14/V14</f>
        <v>8.2352941176470577E-3</v>
      </c>
      <c r="AB14">
        <v>2.6</v>
      </c>
      <c r="AC14">
        <f>2*3/4*LN(AB14)</f>
        <v>1.4332671675411546</v>
      </c>
      <c r="AD14" s="1">
        <f>AC14/AA14</f>
        <v>174.03958462999736</v>
      </c>
      <c r="AE14" s="1">
        <v>4.4000000000000002E-6</v>
      </c>
      <c r="AF14" s="1">
        <f>AE14*X$14/1000</f>
        <v>4.5144000000000003E-6</v>
      </c>
      <c r="AG14">
        <v>82.2</v>
      </c>
      <c r="AH14" s="1">
        <f t="shared" si="2"/>
        <v>5.0435501209085565E-3</v>
      </c>
      <c r="AI14">
        <v>5</v>
      </c>
      <c r="AJ14" s="1">
        <f t="shared" si="3"/>
        <v>4.8192685714285716E-4</v>
      </c>
      <c r="AK14">
        <v>0.35399999999999998</v>
      </c>
      <c r="AL14" s="1">
        <f t="shared" si="4"/>
        <v>1.0018571407537837</v>
      </c>
      <c r="AM14" s="1">
        <f>2/3/AK14*AL14</f>
        <v>1.8867366115890465</v>
      </c>
      <c r="AN14">
        <v>0.18047346061740499</v>
      </c>
      <c r="AO14">
        <v>0.25144902589753898</v>
      </c>
      <c r="AP14">
        <v>0.164931671837588</v>
      </c>
    </row>
    <row r="15" spans="1:42" x14ac:dyDescent="0.15">
      <c r="E15" s="1">
        <f t="shared" ref="E15:E20" si="7">AH15</f>
        <v>8.596960433366857E-3</v>
      </c>
      <c r="AE15" s="1">
        <v>7.5000000000000002E-6</v>
      </c>
      <c r="AF15" s="1">
        <f t="shared" ref="AF15:AF20" si="8">AE15*X$14/1000</f>
        <v>7.695E-6</v>
      </c>
      <c r="AG15">
        <v>82.2</v>
      </c>
      <c r="AH15" s="1">
        <f t="shared" si="2"/>
        <v>8.596960433366857E-3</v>
      </c>
      <c r="AI15">
        <v>5</v>
      </c>
      <c r="AJ15" s="1">
        <f t="shared" si="3"/>
        <v>8.2146623376623377E-4</v>
      </c>
      <c r="AK15">
        <v>0.629</v>
      </c>
      <c r="AL15" s="1">
        <f t="shared" si="4"/>
        <v>1.0031676514381689</v>
      </c>
      <c r="AM15" s="1">
        <f t="shared" si="5"/>
        <v>1.0632407540415145</v>
      </c>
      <c r="AN15">
        <v>0.28687013616971402</v>
      </c>
      <c r="AO15">
        <v>0.40986677366735302</v>
      </c>
      <c r="AP15">
        <v>0.23891187701375599</v>
      </c>
    </row>
    <row r="16" spans="1:42" x14ac:dyDescent="0.15">
      <c r="E16" s="1">
        <f t="shared" si="7"/>
        <v>1.6047659475618131E-2</v>
      </c>
      <c r="AE16" s="1">
        <v>1.4E-5</v>
      </c>
      <c r="AF16" s="1">
        <f t="shared" si="8"/>
        <v>1.4364E-5</v>
      </c>
      <c r="AG16">
        <v>82.2</v>
      </c>
      <c r="AH16" s="1">
        <f t="shared" si="2"/>
        <v>1.6047659475618131E-2</v>
      </c>
      <c r="AI16">
        <v>5</v>
      </c>
      <c r="AJ16" s="1">
        <f t="shared" si="3"/>
        <v>1.5334036363636363E-3</v>
      </c>
      <c r="AK16">
        <v>0.70199999999999996</v>
      </c>
      <c r="AL16" s="1">
        <f t="shared" si="4"/>
        <v>1.0059210646133661</v>
      </c>
      <c r="AM16" s="1">
        <f t="shared" si="5"/>
        <v>0.95529065965181958</v>
      </c>
      <c r="AN16">
        <v>0.49445707362089297</v>
      </c>
      <c r="AO16">
        <v>0.713131609183839</v>
      </c>
      <c r="AP16">
        <v>0.36218837973821899</v>
      </c>
    </row>
    <row r="17" spans="1:42" x14ac:dyDescent="0.15">
      <c r="E17" s="1">
        <f t="shared" si="7"/>
        <v>2.8656534777889531E-2</v>
      </c>
      <c r="AE17" s="1">
        <v>2.5000000000000001E-5</v>
      </c>
      <c r="AF17" s="1">
        <f t="shared" si="8"/>
        <v>2.5650000000000003E-5</v>
      </c>
      <c r="AG17">
        <v>82.2</v>
      </c>
      <c r="AH17" s="1">
        <f t="shared" si="2"/>
        <v>2.8656534777889531E-2</v>
      </c>
      <c r="AI17">
        <v>5</v>
      </c>
      <c r="AJ17" s="1">
        <f t="shared" si="3"/>
        <v>2.7382207792207799E-3</v>
      </c>
      <c r="AK17">
        <v>0.99</v>
      </c>
      <c r="AL17" s="1">
        <f t="shared" si="4"/>
        <v>1.010597914249399</v>
      </c>
      <c r="AM17" s="1">
        <f t="shared" si="5"/>
        <v>0.68053731599286127</v>
      </c>
      <c r="AN17">
        <v>0.80177626110511802</v>
      </c>
      <c r="AO17">
        <v>1.14508723662915</v>
      </c>
      <c r="AP17">
        <v>0.51959960969175301</v>
      </c>
    </row>
    <row r="18" spans="1:42" x14ac:dyDescent="0.15">
      <c r="E18" s="1">
        <f t="shared" si="7"/>
        <v>5.0435501209085555E-2</v>
      </c>
      <c r="AE18" s="1">
        <v>4.3999999999999999E-5</v>
      </c>
      <c r="AF18" s="1">
        <f t="shared" si="8"/>
        <v>4.5143999999999993E-5</v>
      </c>
      <c r="AG18">
        <v>82.2</v>
      </c>
      <c r="AH18" s="1">
        <f t="shared" si="2"/>
        <v>5.0435501209085555E-2</v>
      </c>
      <c r="AI18">
        <v>5</v>
      </c>
      <c r="AJ18" s="1">
        <f t="shared" si="3"/>
        <v>4.8192685714285709E-3</v>
      </c>
      <c r="AK18">
        <v>1.121</v>
      </c>
      <c r="AL18" s="1">
        <f t="shared" si="4"/>
        <v>1.0187273823986462</v>
      </c>
      <c r="AM18" s="1">
        <f t="shared" si="5"/>
        <v>0.6058444141532241</v>
      </c>
      <c r="AN18">
        <v>1.20666614136915</v>
      </c>
      <c r="AO18">
        <v>1.69615524747567</v>
      </c>
      <c r="AP18">
        <v>0.68513404658198296</v>
      </c>
    </row>
    <row r="19" spans="1:42" x14ac:dyDescent="0.15">
      <c r="E19" s="1">
        <f t="shared" si="7"/>
        <v>9.0554649898130904E-2</v>
      </c>
      <c r="AE19" s="1">
        <v>7.8999999999999996E-5</v>
      </c>
      <c r="AF19" s="1">
        <f t="shared" si="8"/>
        <v>8.1054E-5</v>
      </c>
      <c r="AG19">
        <v>82.2</v>
      </c>
      <c r="AH19" s="1">
        <f t="shared" si="2"/>
        <v>9.0554649898130904E-2</v>
      </c>
      <c r="AI19">
        <v>5</v>
      </c>
      <c r="AJ19" s="1">
        <f t="shared" si="3"/>
        <v>8.6527776623376625E-3</v>
      </c>
      <c r="AK19">
        <v>1.8759999999999999</v>
      </c>
      <c r="AL19" s="1">
        <f t="shared" si="4"/>
        <v>1.0338742917649202</v>
      </c>
      <c r="AM19" s="1">
        <f t="shared" si="5"/>
        <v>0.36740379949002139</v>
      </c>
      <c r="AN19">
        <v>1.68793673414753</v>
      </c>
      <c r="AO19">
        <v>2.31730511055199</v>
      </c>
      <c r="AP19">
        <v>0.84298690156395295</v>
      </c>
    </row>
    <row r="20" spans="1:42" x14ac:dyDescent="0.15">
      <c r="E20" s="1">
        <f t="shared" si="7"/>
        <v>0.16506164032064369</v>
      </c>
      <c r="AE20" s="1">
        <v>1.44E-4</v>
      </c>
      <c r="AF20" s="1">
        <f t="shared" si="8"/>
        <v>1.4774400000000003E-4</v>
      </c>
      <c r="AG20">
        <v>82.2</v>
      </c>
      <c r="AH20" s="1">
        <f t="shared" si="2"/>
        <v>0.16506164032064369</v>
      </c>
      <c r="AI20">
        <v>5</v>
      </c>
      <c r="AJ20" s="1">
        <f t="shared" si="3"/>
        <v>1.5772151688311691E-2</v>
      </c>
      <c r="AK20">
        <v>2.0329999999999999</v>
      </c>
      <c r="AL20" s="1">
        <f t="shared" si="4"/>
        <v>1.0626043024392318</v>
      </c>
      <c r="AM20" s="1">
        <f t="shared" si="5"/>
        <v>0.34845197653360604</v>
      </c>
      <c r="AN20">
        <v>2.1800590532492201</v>
      </c>
      <c r="AO20">
        <v>2.9181644853609798</v>
      </c>
      <c r="AP20">
        <v>0.95648640363360604</v>
      </c>
    </row>
    <row r="21" spans="1:42" x14ac:dyDescent="0.15">
      <c r="A21" s="5" t="s">
        <v>121</v>
      </c>
      <c r="B21" s="1">
        <f>N21</f>
        <v>2425.8760107816711</v>
      </c>
      <c r="C21" s="1">
        <f>W21</f>
        <v>0.32581818181818184</v>
      </c>
      <c r="D21" s="1">
        <v>5</v>
      </c>
      <c r="E21" s="1">
        <f>AH21</f>
        <v>8.882828541856751E-3</v>
      </c>
      <c r="F21">
        <v>0.7127</v>
      </c>
      <c r="G21" s="1">
        <f>1/D21/EXP(1)</f>
        <v>7.357588823428847E-2</v>
      </c>
      <c r="H21">
        <v>3</v>
      </c>
      <c r="I21" s="1">
        <f>Y21</f>
        <v>273.63946062422752</v>
      </c>
      <c r="J21" s="1"/>
      <c r="K21" s="1">
        <f>O21/L21</f>
        <v>0.32069446037046201</v>
      </c>
      <c r="L21" s="1">
        <f>0.3055*P21*0.0000000019^3*N21^1.5/300/1.38E-23</f>
        <v>1.9956690217245425</v>
      </c>
      <c r="M21" s="1">
        <v>1800000</v>
      </c>
      <c r="N21">
        <f>M21/742</f>
        <v>2425.8760107816711</v>
      </c>
      <c r="O21">
        <v>0.64</v>
      </c>
      <c r="P21">
        <v>33</v>
      </c>
      <c r="Q21">
        <v>3.78E-2</v>
      </c>
      <c r="R21" s="1">
        <v>1.5E-3</v>
      </c>
      <c r="S21" s="1">
        <f>R21*S$14/R$14</f>
        <v>5.9750000000000005E-4</v>
      </c>
      <c r="T21" s="1">
        <f>R21/4</f>
        <v>3.7500000000000001E-4</v>
      </c>
      <c r="U21" s="1">
        <v>0.3</v>
      </c>
      <c r="V21" s="1">
        <f>6*P21*T21/Q21</f>
        <v>1.9642857142857142</v>
      </c>
      <c r="W21" s="1">
        <f>O21/V21</f>
        <v>0.32581818181818184</v>
      </c>
      <c r="X21">
        <v>1026</v>
      </c>
      <c r="Y21" s="1">
        <f>P21/SQRT(X21*T21*Q21)</f>
        <v>273.63946062422752</v>
      </c>
      <c r="Z21" s="1">
        <v>0.05</v>
      </c>
      <c r="AA21" s="1">
        <f>Z21/V21</f>
        <v>2.5454545454545459E-2</v>
      </c>
      <c r="AB21">
        <v>2.5</v>
      </c>
      <c r="AC21">
        <f>2*3/4*LN(AB21)</f>
        <v>1.3744360978112327</v>
      </c>
      <c r="AD21" s="1">
        <f>AC21/AA21</f>
        <v>53.995703842584128</v>
      </c>
      <c r="AE21" s="1">
        <v>1.0000000000000001E-5</v>
      </c>
      <c r="AF21" s="1">
        <f>AE21*X$21/1000</f>
        <v>1.026E-5</v>
      </c>
      <c r="AG21">
        <v>63.7</v>
      </c>
      <c r="AH21" s="1">
        <f t="shared" si="2"/>
        <v>8.882828541856751E-3</v>
      </c>
      <c r="AI21">
        <v>5</v>
      </c>
      <c r="AJ21" s="1">
        <f t="shared" si="3"/>
        <v>8.4878181818181814E-4</v>
      </c>
      <c r="AK21">
        <v>0.54800000000000004</v>
      </c>
      <c r="AL21" s="1">
        <f t="shared" si="4"/>
        <v>1.0032731551117822</v>
      </c>
      <c r="AM21" s="1">
        <f t="shared" si="5"/>
        <v>1.2205269526907323</v>
      </c>
      <c r="AN21">
        <v>0.20072674656273601</v>
      </c>
      <c r="AO21">
        <v>0.27761422063107899</v>
      </c>
      <c r="AP21">
        <v>0.20821767264357099</v>
      </c>
    </row>
    <row r="22" spans="1:42" x14ac:dyDescent="0.15">
      <c r="E22" s="1">
        <f t="shared" ref="E22:E28" si="9">AH22</f>
        <v>4.4414142709283774E-2</v>
      </c>
      <c r="AE22" s="1">
        <v>5.0000000000000002E-5</v>
      </c>
      <c r="AF22" s="1">
        <f t="shared" ref="AF22:AF28" si="10">AE22*X$21/1000</f>
        <v>5.1300000000000007E-5</v>
      </c>
      <c r="AG22">
        <v>63.7</v>
      </c>
      <c r="AH22" s="1">
        <f t="shared" si="2"/>
        <v>4.4414142709283774E-2</v>
      </c>
      <c r="AI22">
        <v>5</v>
      </c>
      <c r="AJ22" s="1">
        <f t="shared" si="3"/>
        <v>4.2439090909090916E-3</v>
      </c>
      <c r="AK22">
        <v>0.995</v>
      </c>
      <c r="AL22" s="1">
        <f t="shared" si="4"/>
        <v>1.01647326224797</v>
      </c>
      <c r="AM22" s="1">
        <f t="shared" si="5"/>
        <v>0.68105411205894129</v>
      </c>
      <c r="AN22">
        <v>0.78702326375895504</v>
      </c>
      <c r="AO22">
        <v>1.1178526187881901</v>
      </c>
      <c r="AP22">
        <v>0.57647430825048096</v>
      </c>
    </row>
    <row r="23" spans="1:42" x14ac:dyDescent="0.15">
      <c r="E23" s="1">
        <f t="shared" si="9"/>
        <v>8.8828285418567549E-2</v>
      </c>
      <c r="AE23" s="1">
        <v>1E-4</v>
      </c>
      <c r="AF23" s="1">
        <f t="shared" si="10"/>
        <v>1.0260000000000001E-4</v>
      </c>
      <c r="AG23">
        <v>63.7</v>
      </c>
      <c r="AH23" s="1">
        <f t="shared" si="2"/>
        <v>8.8828285418567549E-2</v>
      </c>
      <c r="AI23">
        <v>5</v>
      </c>
      <c r="AJ23" s="1">
        <f t="shared" si="3"/>
        <v>8.4878181818181832E-3</v>
      </c>
      <c r="AK23">
        <v>1.286</v>
      </c>
      <c r="AL23" s="1">
        <f t="shared" si="4"/>
        <v>1.0332178928650304</v>
      </c>
      <c r="AM23" s="1">
        <f t="shared" si="5"/>
        <v>0.535623583652167</v>
      </c>
      <c r="AN23">
        <v>1.2678396432666801</v>
      </c>
      <c r="AO23">
        <v>1.7563557290104901</v>
      </c>
      <c r="AP23">
        <v>0.77951700803357604</v>
      </c>
    </row>
    <row r="24" spans="1:42" x14ac:dyDescent="0.15">
      <c r="E24" s="1">
        <f t="shared" si="9"/>
        <v>0.2220707135464188</v>
      </c>
      <c r="AE24" s="1">
        <v>2.5000000000000001E-4</v>
      </c>
      <c r="AF24" s="1">
        <f t="shared" si="10"/>
        <v>2.565E-4</v>
      </c>
      <c r="AG24">
        <v>63.7</v>
      </c>
      <c r="AH24" s="1">
        <f t="shared" si="2"/>
        <v>0.2220707135464188</v>
      </c>
      <c r="AI24">
        <v>5</v>
      </c>
      <c r="AJ24" s="1">
        <f t="shared" si="3"/>
        <v>2.1219545454545456E-2</v>
      </c>
      <c r="AK24">
        <v>2.6989999999999998</v>
      </c>
      <c r="AL24" s="1">
        <f t="shared" si="4"/>
        <v>1.085125067570915</v>
      </c>
      <c r="AM24" s="1">
        <f t="shared" si="5"/>
        <v>0.26803138633343582</v>
      </c>
      <c r="AN24">
        <v>1.98231384446381</v>
      </c>
      <c r="AO24">
        <v>2.6325487118489601</v>
      </c>
      <c r="AP24">
        <v>0.97780708590128096</v>
      </c>
    </row>
    <row r="25" spans="1:42" x14ac:dyDescent="0.15">
      <c r="E25" s="1">
        <f t="shared" si="9"/>
        <v>0.4441414270928376</v>
      </c>
      <c r="AE25" s="1">
        <v>5.0000000000000001E-4</v>
      </c>
      <c r="AF25" s="1">
        <f t="shared" si="10"/>
        <v>5.13E-4</v>
      </c>
      <c r="AG25">
        <v>63.7</v>
      </c>
      <c r="AH25" s="1">
        <f t="shared" si="2"/>
        <v>0.4441414270928376</v>
      </c>
      <c r="AI25">
        <v>5</v>
      </c>
      <c r="AJ25" s="1">
        <f t="shared" si="3"/>
        <v>4.2439090909090912E-2</v>
      </c>
      <c r="AK25">
        <v>5.0190000000000001</v>
      </c>
      <c r="AL25" s="1">
        <f t="shared" si="4"/>
        <v>1.1774964122707827</v>
      </c>
      <c r="AM25" s="1">
        <f t="shared" si="5"/>
        <v>0.15640518194471442</v>
      </c>
      <c r="AN25">
        <v>2.5047228181454</v>
      </c>
      <c r="AO25">
        <v>3.2563735865724301</v>
      </c>
      <c r="AP25">
        <v>1.04971817454775</v>
      </c>
    </row>
    <row r="26" spans="1:42" x14ac:dyDescent="0.15">
      <c r="E26" s="1">
        <f t="shared" si="9"/>
        <v>0.66621214063925649</v>
      </c>
      <c r="AE26" s="1">
        <v>7.5000000000000002E-4</v>
      </c>
      <c r="AF26" s="1">
        <f t="shared" si="10"/>
        <v>7.695E-4</v>
      </c>
      <c r="AG26">
        <v>63.7</v>
      </c>
      <c r="AH26" s="1">
        <f t="shared" si="2"/>
        <v>0.66621214063925649</v>
      </c>
      <c r="AI26">
        <v>5</v>
      </c>
      <c r="AJ26" s="1">
        <f t="shared" si="3"/>
        <v>6.3658636363636362E-2</v>
      </c>
      <c r="AL26" s="1">
        <f t="shared" si="4"/>
        <v>1.277730873929843</v>
      </c>
      <c r="AM26" s="1"/>
      <c r="AN26">
        <v>2.8253613021106401</v>
      </c>
      <c r="AO26">
        <v>3.6615804859890102</v>
      </c>
      <c r="AP26">
        <v>1.0720241052230099</v>
      </c>
    </row>
    <row r="27" spans="1:42" x14ac:dyDescent="0.15">
      <c r="E27" s="1">
        <f t="shared" si="9"/>
        <v>0.88828285418567521</v>
      </c>
      <c r="AE27" s="1">
        <v>1E-3</v>
      </c>
      <c r="AF27" s="1">
        <f t="shared" si="10"/>
        <v>1.026E-3</v>
      </c>
      <c r="AG27">
        <v>63.7</v>
      </c>
      <c r="AH27" s="1">
        <f t="shared" si="2"/>
        <v>0.88828285418567521</v>
      </c>
      <c r="AI27">
        <v>5</v>
      </c>
      <c r="AJ27" s="1">
        <f t="shared" si="3"/>
        <v>8.4878181818181825E-2</v>
      </c>
      <c r="AL27" s="1">
        <f t="shared" si="4"/>
        <v>1.3864978009105648</v>
      </c>
      <c r="AM27" s="1"/>
      <c r="AN27">
        <v>3.0732428970814998</v>
      </c>
      <c r="AO27">
        <v>3.97967174465286</v>
      </c>
      <c r="AP27">
        <v>1.0832159432727599</v>
      </c>
    </row>
    <row r="28" spans="1:42" x14ac:dyDescent="0.15">
      <c r="E28" s="1">
        <f t="shared" si="9"/>
        <v>1.4701081236772924</v>
      </c>
      <c r="AE28" s="1">
        <v>1.655E-3</v>
      </c>
      <c r="AF28" s="1">
        <f t="shared" si="10"/>
        <v>1.6980299999999999E-3</v>
      </c>
      <c r="AG28">
        <v>63.7</v>
      </c>
      <c r="AH28" s="1">
        <f t="shared" si="2"/>
        <v>1.4701081236772924</v>
      </c>
      <c r="AI28">
        <v>5</v>
      </c>
      <c r="AJ28" s="1">
        <f t="shared" si="3"/>
        <v>0.14047339090909092</v>
      </c>
      <c r="AL28" s="1">
        <f t="shared" si="4"/>
        <v>1.7174189528909003</v>
      </c>
      <c r="AM28" s="1"/>
      <c r="AN28">
        <v>3.5488398570392401</v>
      </c>
      <c r="AO28">
        <v>4.59454959230216</v>
      </c>
      <c r="AP28">
        <v>1.09926280267114</v>
      </c>
    </row>
    <row r="29" spans="1:42" x14ac:dyDescent="0.15">
      <c r="A29" s="5" t="s">
        <v>125</v>
      </c>
      <c r="B29" s="1">
        <f>N29</f>
        <v>8086.2533692722373</v>
      </c>
      <c r="C29" s="1">
        <f>W29</f>
        <v>2.1280000000000001</v>
      </c>
      <c r="D29" s="1">
        <v>5</v>
      </c>
      <c r="E29" s="1">
        <f>AH29</f>
        <v>1.7430982224993626E-2</v>
      </c>
      <c r="F29">
        <v>0.7127</v>
      </c>
      <c r="G29" s="1">
        <f>1/D29/EXP(1)</f>
        <v>7.357588823428847E-2</v>
      </c>
      <c r="H29">
        <v>3</v>
      </c>
      <c r="I29" s="1">
        <f>Y29</f>
        <v>273.63946062422752</v>
      </c>
      <c r="J29" s="1"/>
      <c r="K29" s="1">
        <f>O29/L29</f>
        <v>0.34416733417946593</v>
      </c>
      <c r="L29" s="1">
        <f>0.3055*P29*0.0000000019^3*N29^1.5/300/1.38E-23</f>
        <v>12.145254894586655</v>
      </c>
      <c r="M29" s="1">
        <v>6000000</v>
      </c>
      <c r="N29">
        <f>M29/742</f>
        <v>8086.2533692722373</v>
      </c>
      <c r="O29">
        <v>4.18</v>
      </c>
      <c r="P29">
        <v>33</v>
      </c>
      <c r="Q29">
        <v>3.78E-2</v>
      </c>
      <c r="R29" s="1">
        <v>1.5E-3</v>
      </c>
      <c r="S29" s="1">
        <f>R29*S$14/R$14</f>
        <v>5.9750000000000005E-4</v>
      </c>
      <c r="T29" s="1">
        <f>R29/4</f>
        <v>3.7500000000000001E-4</v>
      </c>
      <c r="U29" s="1">
        <v>0.3</v>
      </c>
      <c r="V29" s="1">
        <f>6*P29*T29/Q29</f>
        <v>1.9642857142857142</v>
      </c>
      <c r="W29" s="1">
        <f>O29/V29</f>
        <v>2.1280000000000001</v>
      </c>
      <c r="X29">
        <v>1026</v>
      </c>
      <c r="Y29" s="1">
        <f>P29/SQRT(X29*T29*Q29)</f>
        <v>273.63946062422752</v>
      </c>
      <c r="Z29" s="1">
        <v>0.05</v>
      </c>
      <c r="AA29" s="1">
        <f>Z29/V29</f>
        <v>2.5454545454545459E-2</v>
      </c>
      <c r="AB29">
        <v>2.5</v>
      </c>
      <c r="AC29">
        <f>2*3/4*LN(AB29)</f>
        <v>1.3744360978112327</v>
      </c>
      <c r="AD29" s="1">
        <f>AC29/AA29</f>
        <v>53.995703842584128</v>
      </c>
      <c r="AE29" s="1">
        <v>1.0000000000000001E-5</v>
      </c>
      <c r="AF29" s="1">
        <f>AE29*X$29/1000</f>
        <v>1.026E-5</v>
      </c>
      <c r="AG29">
        <v>125</v>
      </c>
      <c r="AH29" s="1">
        <f t="shared" si="2"/>
        <v>1.7430982224993626E-2</v>
      </c>
      <c r="AI29">
        <v>5</v>
      </c>
      <c r="AJ29" s="1">
        <f t="shared" si="3"/>
        <v>1.6655844155844155E-3</v>
      </c>
      <c r="AK29">
        <v>0.39200000000000002</v>
      </c>
      <c r="AL29" s="1">
        <f t="shared" ref="AL29:AL33" si="11">EXP(AI29*AG29*AF29)</f>
        <v>1.0064331040958352</v>
      </c>
      <c r="AM29" s="1">
        <f t="shared" si="5"/>
        <v>1.711620925333053</v>
      </c>
      <c r="AN29">
        <v>0.40786857663000697</v>
      </c>
      <c r="AO29">
        <v>0.60348585175758496</v>
      </c>
      <c r="AP29">
        <v>0.214765032450453</v>
      </c>
    </row>
    <row r="30" spans="1:42" x14ac:dyDescent="0.15">
      <c r="E30" s="1">
        <f>AH30</f>
        <v>8.7154911124968135E-2</v>
      </c>
      <c r="AE30" s="1">
        <v>5.0000000000000002E-5</v>
      </c>
      <c r="AF30" s="1">
        <f>AE30*X$29/1000</f>
        <v>5.1300000000000007E-5</v>
      </c>
      <c r="AG30">
        <v>125</v>
      </c>
      <c r="AH30" s="1">
        <f t="shared" si="2"/>
        <v>8.7154911124968135E-2</v>
      </c>
      <c r="AI30">
        <v>5</v>
      </c>
      <c r="AJ30" s="1">
        <f t="shared" si="3"/>
        <v>8.3279220779220783E-3</v>
      </c>
      <c r="AK30">
        <v>0.68300000000000005</v>
      </c>
      <c r="AL30" s="1">
        <f t="shared" si="11"/>
        <v>1.0325820396658778</v>
      </c>
      <c r="AM30" s="1">
        <f t="shared" si="5"/>
        <v>1.0078887649252102</v>
      </c>
      <c r="AN30">
        <v>1.6640288535843499</v>
      </c>
      <c r="AO30">
        <v>2.3595188255927799</v>
      </c>
      <c r="AP30">
        <v>0.63539691220514005</v>
      </c>
    </row>
    <row r="31" spans="1:42" x14ac:dyDescent="0.15">
      <c r="E31" s="1">
        <f>AH31</f>
        <v>0.17430982224993627</v>
      </c>
      <c r="AE31" s="1">
        <v>1E-4</v>
      </c>
      <c r="AF31" s="1">
        <f>AE31*X$29/1000</f>
        <v>1.0260000000000001E-4</v>
      </c>
      <c r="AG31">
        <v>125</v>
      </c>
      <c r="AH31" s="1">
        <f t="shared" si="2"/>
        <v>0.17430982224993627</v>
      </c>
      <c r="AI31">
        <v>5</v>
      </c>
      <c r="AJ31" s="1">
        <f t="shared" si="3"/>
        <v>1.6655844155844157E-2</v>
      </c>
      <c r="AK31">
        <v>1.482</v>
      </c>
      <c r="AL31" s="1">
        <f t="shared" si="11"/>
        <v>1.0662256686405445</v>
      </c>
      <c r="AM31" s="1">
        <f t="shared" si="5"/>
        <v>0.47963367910055976</v>
      </c>
      <c r="AN31">
        <v>2.58004232746877</v>
      </c>
      <c r="AO31">
        <v>3.5855342971472601</v>
      </c>
      <c r="AP31">
        <v>0.82369397025790203</v>
      </c>
    </row>
    <row r="32" spans="1:42" x14ac:dyDescent="0.15">
      <c r="E32" s="1">
        <f>AH32</f>
        <v>0.43577455562484063</v>
      </c>
      <c r="AE32" s="1">
        <v>2.5000000000000001E-4</v>
      </c>
      <c r="AF32" s="1">
        <f>AE32*X$29/1000</f>
        <v>2.565E-4</v>
      </c>
      <c r="AG32">
        <v>125</v>
      </c>
      <c r="AH32" s="1">
        <f t="shared" si="2"/>
        <v>0.43577455562484063</v>
      </c>
      <c r="AI32">
        <v>5</v>
      </c>
      <c r="AJ32" s="1">
        <f t="shared" si="3"/>
        <v>4.1639610389610386E-2</v>
      </c>
      <c r="AK32">
        <v>4.0339999999999998</v>
      </c>
      <c r="AL32" s="1">
        <f t="shared" si="11"/>
        <v>1.1738776504452999</v>
      </c>
      <c r="AM32" s="1">
        <f t="shared" si="5"/>
        <v>0.19399729804086924</v>
      </c>
      <c r="AN32">
        <v>3.8999583855528601</v>
      </c>
      <c r="AO32">
        <v>5.2386018561664001</v>
      </c>
      <c r="AP32">
        <v>0.97868554092728899</v>
      </c>
    </row>
    <row r="33" spans="5:42" x14ac:dyDescent="0.15">
      <c r="E33" s="1">
        <f>AH33</f>
        <v>1.3073236668745218</v>
      </c>
      <c r="AE33" s="1">
        <v>7.5000000000000002E-4</v>
      </c>
      <c r="AF33" s="1">
        <f>AE33*X$29/1000</f>
        <v>7.695E-4</v>
      </c>
      <c r="AG33">
        <v>125</v>
      </c>
      <c r="AH33" s="1">
        <f t="shared" si="2"/>
        <v>1.3073236668745218</v>
      </c>
      <c r="AI33">
        <v>5</v>
      </c>
      <c r="AJ33" s="1">
        <f t="shared" si="3"/>
        <v>0.12491883116883117</v>
      </c>
      <c r="AK33">
        <v>8.3119999999999994</v>
      </c>
      <c r="AL33" s="1">
        <f t="shared" si="11"/>
        <v>1.6175901823558816</v>
      </c>
      <c r="AM33" s="1">
        <f t="shared" si="5"/>
        <v>0.12973934731760361</v>
      </c>
      <c r="AN33">
        <v>5.4876149485629302</v>
      </c>
      <c r="AO33">
        <v>7.2596208407598297</v>
      </c>
      <c r="AP33">
        <v>1.0476263909198</v>
      </c>
    </row>
    <row r="34" spans="5:42" x14ac:dyDescent="0.15">
      <c r="E34" s="1"/>
    </row>
    <row r="35" spans="5:42" x14ac:dyDescent="0.15">
      <c r="E35" s="1"/>
    </row>
    <row r="36" spans="5:42" x14ac:dyDescent="0.15">
      <c r="E36" s="1"/>
      <c r="L36">
        <v>8300000</v>
      </c>
      <c r="M36">
        <v>150</v>
      </c>
      <c r="N36" s="1">
        <v>2000000</v>
      </c>
      <c r="O36">
        <v>120</v>
      </c>
      <c r="P36" s="1">
        <f>0.0208*N36^0.56</f>
        <v>70.248997756359742</v>
      </c>
      <c r="AE36" s="1">
        <f>AC36*AD36*AF36*EXP(1)</f>
        <v>0</v>
      </c>
    </row>
    <row r="37" spans="5:42" x14ac:dyDescent="0.15">
      <c r="E37" s="1"/>
      <c r="L37">
        <v>5700000</v>
      </c>
      <c r="M37">
        <v>121.1</v>
      </c>
      <c r="N37" s="1">
        <v>6500000</v>
      </c>
      <c r="O37">
        <v>250</v>
      </c>
      <c r="P37" s="1">
        <f t="shared" ref="P37:P38" si="12">0.0208*N37^0.56</f>
        <v>135.92358315482107</v>
      </c>
      <c r="AE37" s="1">
        <f t="shared" ref="AE37:AE41" si="13">AC37*AD37*AF37*EXP(1)</f>
        <v>0</v>
      </c>
    </row>
    <row r="38" spans="5:42" x14ac:dyDescent="0.15">
      <c r="E38" s="1"/>
      <c r="L38">
        <v>2800000</v>
      </c>
      <c r="M38">
        <v>82.2</v>
      </c>
      <c r="N38" s="1">
        <v>20000000</v>
      </c>
      <c r="O38">
        <v>430</v>
      </c>
      <c r="P38" s="1">
        <f t="shared" si="12"/>
        <v>255.05869454928308</v>
      </c>
      <c r="AE38" s="1">
        <f t="shared" si="13"/>
        <v>0</v>
      </c>
    </row>
    <row r="39" spans="5:42" x14ac:dyDescent="0.15">
      <c r="L39">
        <v>1800000</v>
      </c>
      <c r="M39">
        <v>63.7</v>
      </c>
      <c r="P39" s="1"/>
      <c r="AE39" s="1">
        <f t="shared" si="13"/>
        <v>0</v>
      </c>
    </row>
    <row r="40" spans="5:42" x14ac:dyDescent="0.15">
      <c r="L40">
        <v>6000000</v>
      </c>
      <c r="M40">
        <v>125</v>
      </c>
      <c r="P40" s="1"/>
      <c r="AE40" s="1">
        <f t="shared" si="13"/>
        <v>0</v>
      </c>
    </row>
    <row r="41" spans="5:42" x14ac:dyDescent="0.15">
      <c r="AE41" s="1">
        <f t="shared" si="13"/>
        <v>0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41"/>
  <sheetViews>
    <sheetView tabSelected="1" workbookViewId="0">
      <selection activeCell="E16" sqref="E16:E18"/>
    </sheetView>
  </sheetViews>
  <sheetFormatPr baseColWidth="10" defaultRowHeight="13" x14ac:dyDescent="0.15"/>
  <cols>
    <col min="39" max="39" width="14.5" customWidth="1"/>
  </cols>
  <sheetData>
    <row r="1" spans="1:40" x14ac:dyDescent="0.15">
      <c r="A1" s="5" t="s">
        <v>120</v>
      </c>
      <c r="B1" t="s">
        <v>32</v>
      </c>
      <c r="C1" t="s">
        <v>38</v>
      </c>
      <c r="D1" t="s">
        <v>39</v>
      </c>
      <c r="E1" t="s">
        <v>37</v>
      </c>
      <c r="F1" t="s">
        <v>33</v>
      </c>
      <c r="G1" t="s">
        <v>34</v>
      </c>
      <c r="H1" t="s">
        <v>36</v>
      </c>
      <c r="I1" t="s">
        <v>50</v>
      </c>
      <c r="M1" t="s">
        <v>42</v>
      </c>
      <c r="N1" t="s">
        <v>49</v>
      </c>
      <c r="O1" t="s">
        <v>43</v>
      </c>
      <c r="P1" t="s">
        <v>44</v>
      </c>
      <c r="Q1" t="s">
        <v>45</v>
      </c>
      <c r="R1" t="s">
        <v>46</v>
      </c>
      <c r="S1" s="5" t="s">
        <v>132</v>
      </c>
      <c r="T1" s="5" t="s">
        <v>129</v>
      </c>
      <c r="U1" s="5" t="s">
        <v>133</v>
      </c>
      <c r="V1" t="s">
        <v>58</v>
      </c>
      <c r="W1" t="s">
        <v>38</v>
      </c>
      <c r="X1" t="s">
        <v>51</v>
      </c>
      <c r="Y1" t="s">
        <v>50</v>
      </c>
      <c r="Z1" t="s">
        <v>52</v>
      </c>
      <c r="AA1" t="s">
        <v>59</v>
      </c>
      <c r="AB1" t="s">
        <v>54</v>
      </c>
      <c r="AC1" t="s">
        <v>40</v>
      </c>
      <c r="AD1" t="s">
        <v>41</v>
      </c>
      <c r="AE1" t="s">
        <v>55</v>
      </c>
      <c r="AF1" t="s">
        <v>56</v>
      </c>
      <c r="AG1" t="s">
        <v>57</v>
      </c>
      <c r="AH1" t="s">
        <v>69</v>
      </c>
      <c r="AI1" t="s">
        <v>39</v>
      </c>
      <c r="AJ1" t="s">
        <v>35</v>
      </c>
      <c r="AK1" t="s">
        <v>70</v>
      </c>
      <c r="AL1" t="s">
        <v>100</v>
      </c>
      <c r="AM1" t="s">
        <v>74</v>
      </c>
      <c r="AN1" t="s">
        <v>75</v>
      </c>
    </row>
    <row r="2" spans="1:40" x14ac:dyDescent="0.15">
      <c r="A2" s="5" t="s">
        <v>126</v>
      </c>
      <c r="B2" s="1">
        <f>N2</f>
        <v>11185.983827493261</v>
      </c>
      <c r="C2" s="1">
        <f>W2</f>
        <v>7.704545454545455</v>
      </c>
      <c r="D2" s="1">
        <v>0.35</v>
      </c>
      <c r="E2" s="1">
        <f t="shared" ref="E2:E7" si="0">AH2</f>
        <v>6.3926187136509063E-2</v>
      </c>
      <c r="F2">
        <v>0.55689999999999995</v>
      </c>
      <c r="G2" s="1">
        <f>1/D2/EXP(1)</f>
        <v>1.0510841176326924</v>
      </c>
      <c r="H2">
        <v>3</v>
      </c>
      <c r="I2" s="1">
        <f>Y2</f>
        <v>6.2033390384212655E-2</v>
      </c>
      <c r="J2" s="1"/>
      <c r="K2" s="1">
        <f>O2/L2</f>
        <v>1.5439929422611163</v>
      </c>
      <c r="L2" s="1">
        <f>0.3055*P2*0.0000000019^3*N2^1.5/300/1.38E-23</f>
        <v>6.5868176736005278E-3</v>
      </c>
      <c r="M2" s="1">
        <v>8300000</v>
      </c>
      <c r="N2" s="1">
        <f>M2/742</f>
        <v>11185.983827493261</v>
      </c>
      <c r="O2">
        <v>1.017E-2</v>
      </c>
      <c r="P2">
        <v>1.0999999999999999E-2</v>
      </c>
      <c r="Q2">
        <v>3.7499999999999999E-2</v>
      </c>
      <c r="R2" s="1">
        <v>3.0000000000000001E-3</v>
      </c>
      <c r="S2" s="1">
        <f>R2*Boger!$S$14/Boger!$R$14</f>
        <v>1.1950000000000001E-3</v>
      </c>
      <c r="T2" s="1">
        <f>R2/4</f>
        <v>7.5000000000000002E-4</v>
      </c>
      <c r="U2" s="1">
        <v>0.4</v>
      </c>
      <c r="V2" s="1">
        <f>SQRT(X2*T2^3/Q2)</f>
        <v>3.5464771252610668E-3</v>
      </c>
      <c r="W2" s="1">
        <f>O2/V2/6/Y2</f>
        <v>7.704545454545455</v>
      </c>
      <c r="X2">
        <v>1118</v>
      </c>
      <c r="Y2" s="1">
        <f>P2/SQRT(X2*T2*Q2)</f>
        <v>6.2033390384212655E-2</v>
      </c>
      <c r="Z2" s="1">
        <v>0.05</v>
      </c>
      <c r="AA2" s="1">
        <f>Z2/V2</f>
        <v>14.098497814593786</v>
      </c>
      <c r="AB2">
        <v>2.6</v>
      </c>
      <c r="AC2">
        <f>2*3/4*LN(AB2)</f>
        <v>1.4332671675411546</v>
      </c>
      <c r="AD2" s="1">
        <f>AC2/AA2</f>
        <v>0.1016609844814485</v>
      </c>
      <c r="AE2" s="1">
        <v>1E-4</v>
      </c>
      <c r="AF2" s="1">
        <f t="shared" ref="AF2:AF7" si="1">AE2*X$2/1000</f>
        <v>1.1180000000000001E-4</v>
      </c>
      <c r="AG2">
        <v>601</v>
      </c>
      <c r="AH2" s="1">
        <f>AF2*AG2*AI2*EXP(1)</f>
        <v>6.3926187136509063E-2</v>
      </c>
      <c r="AI2">
        <v>0.35</v>
      </c>
      <c r="AJ2" s="1">
        <f>AF2*AG2/0.77</f>
        <v>8.7262077922077935E-2</v>
      </c>
      <c r="AK2">
        <v>1.1200000000000001</v>
      </c>
      <c r="AL2" s="1">
        <f>EXP(AI2*AG2*AF2)</f>
        <v>1.023795838219129</v>
      </c>
      <c r="AM2">
        <v>1.3126637104954799</v>
      </c>
      <c r="AN2">
        <v>1.0194543337036901</v>
      </c>
    </row>
    <row r="3" spans="1:40" x14ac:dyDescent="0.15">
      <c r="E3" s="1">
        <f t="shared" si="0"/>
        <v>0.20200675135136861</v>
      </c>
      <c r="AE3" s="1">
        <v>3.1599999999999998E-4</v>
      </c>
      <c r="AF3" s="1">
        <f t="shared" si="1"/>
        <v>3.53288E-4</v>
      </c>
      <c r="AG3">
        <v>601</v>
      </c>
      <c r="AH3" s="1">
        <f t="shared" ref="AH3:AH21" si="2">AF3*AG3*AI3*EXP(1)</f>
        <v>0.20200675135136861</v>
      </c>
      <c r="AI3">
        <v>0.35</v>
      </c>
      <c r="AJ3" s="1">
        <f t="shared" ref="AJ3:AJ21" si="3">AF3*AG3/0.77</f>
        <v>0.27574816623376625</v>
      </c>
      <c r="AK3">
        <v>1.819</v>
      </c>
      <c r="AL3" s="1">
        <f t="shared" ref="AL3:AL21" si="4">EXP(AI3*AG3*AF3)</f>
        <v>1.0771451168136963</v>
      </c>
      <c r="AM3">
        <v>1.8555917971189499</v>
      </c>
      <c r="AN3">
        <v>1.1123094762638599</v>
      </c>
    </row>
    <row r="4" spans="1:40" x14ac:dyDescent="0.15">
      <c r="E4" s="1">
        <f t="shared" si="0"/>
        <v>0.63926187136509061</v>
      </c>
      <c r="AE4" s="1">
        <v>1E-3</v>
      </c>
      <c r="AF4" s="1">
        <f t="shared" si="1"/>
        <v>1.1180000000000001E-3</v>
      </c>
      <c r="AG4">
        <v>601</v>
      </c>
      <c r="AH4" s="1">
        <f t="shared" si="2"/>
        <v>0.63926187136509061</v>
      </c>
      <c r="AI4">
        <v>0.35</v>
      </c>
      <c r="AJ4" s="1">
        <f t="shared" si="3"/>
        <v>0.87262077922077919</v>
      </c>
      <c r="AK4">
        <v>2.7839999999999998</v>
      </c>
      <c r="AL4" s="1">
        <f t="shared" si="4"/>
        <v>1.2651254661645808</v>
      </c>
      <c r="AM4">
        <v>2.5338188484981701</v>
      </c>
      <c r="AN4">
        <v>1.13625995264296</v>
      </c>
    </row>
    <row r="5" spans="1:40" x14ac:dyDescent="0.15">
      <c r="E5" s="1">
        <f t="shared" si="0"/>
        <v>2.0200675135136863</v>
      </c>
      <c r="AE5" s="1">
        <v>3.16E-3</v>
      </c>
      <c r="AF5" s="1">
        <f t="shared" si="1"/>
        <v>3.53288E-3</v>
      </c>
      <c r="AG5">
        <v>601</v>
      </c>
      <c r="AH5" s="1">
        <f t="shared" si="2"/>
        <v>2.0200675135136863</v>
      </c>
      <c r="AI5">
        <v>0.35</v>
      </c>
      <c r="AJ5" s="1">
        <f t="shared" si="3"/>
        <v>2.7574816623376623</v>
      </c>
      <c r="AK5">
        <v>6.7530000000000001</v>
      </c>
      <c r="AL5" s="1">
        <f t="shared" si="4"/>
        <v>2.1025298454832386</v>
      </c>
      <c r="AM5">
        <v>3.5142233706278301</v>
      </c>
      <c r="AN5">
        <v>1.15296625308692</v>
      </c>
    </row>
    <row r="6" spans="1:40" x14ac:dyDescent="0.15">
      <c r="E6" s="1">
        <f t="shared" si="0"/>
        <v>6.3926187136509052</v>
      </c>
      <c r="AE6" s="1">
        <v>0.01</v>
      </c>
      <c r="AF6" s="1">
        <f t="shared" si="1"/>
        <v>1.1179999999999999E-2</v>
      </c>
      <c r="AG6">
        <v>601</v>
      </c>
      <c r="AH6" s="1">
        <f t="shared" si="2"/>
        <v>6.3926187136509052</v>
      </c>
      <c r="AI6">
        <v>0.35</v>
      </c>
      <c r="AJ6" s="1">
        <f t="shared" si="3"/>
        <v>8.7262077922077914</v>
      </c>
      <c r="AK6">
        <v>13.227</v>
      </c>
      <c r="AL6" s="1">
        <f t="shared" si="4"/>
        <v>10.503546898719582</v>
      </c>
      <c r="AN6">
        <v>1.2105275445986801</v>
      </c>
    </row>
    <row r="7" spans="1:40" x14ac:dyDescent="0.15">
      <c r="E7" s="1">
        <f t="shared" si="0"/>
        <v>12.78523742730181</v>
      </c>
      <c r="AE7" s="1">
        <v>0.02</v>
      </c>
      <c r="AF7" s="1">
        <f t="shared" si="1"/>
        <v>2.2359999999999998E-2</v>
      </c>
      <c r="AG7">
        <v>601</v>
      </c>
      <c r="AH7" s="1">
        <f t="shared" si="2"/>
        <v>12.78523742730181</v>
      </c>
      <c r="AI7">
        <v>0.35</v>
      </c>
      <c r="AJ7" s="1">
        <f t="shared" si="3"/>
        <v>17.452415584415583</v>
      </c>
      <c r="AK7">
        <v>52.497999999999998</v>
      </c>
      <c r="AL7" s="1">
        <f t="shared" si="4"/>
        <v>110.32449745360175</v>
      </c>
    </row>
    <row r="8" spans="1:40" x14ac:dyDescent="0.15">
      <c r="A8" s="5" t="s">
        <v>127</v>
      </c>
      <c r="B8" s="1">
        <f>N8</f>
        <v>7681.9407008086255</v>
      </c>
      <c r="C8" s="1">
        <f>W8</f>
        <v>4.3181818181818183</v>
      </c>
      <c r="D8" s="1">
        <v>0.35</v>
      </c>
      <c r="E8" s="1">
        <f t="shared" ref="E8:E15" si="5">AH8</f>
        <v>4.9353994727687527E-2</v>
      </c>
      <c r="F8">
        <v>0.55689999999999995</v>
      </c>
      <c r="G8" s="1">
        <f>1/D8/EXP(1)</f>
        <v>1.0510841176326924</v>
      </c>
      <c r="H8">
        <v>3</v>
      </c>
      <c r="I8" s="1">
        <f>Y8</f>
        <v>6.2033390384212655E-2</v>
      </c>
      <c r="J8" s="1"/>
      <c r="K8" s="1">
        <f>O8/L8</f>
        <v>1.5205617747688525</v>
      </c>
      <c r="L8" s="1">
        <f>0.3055*P8*0.0000000019^3*N8^1.5/300/1.38E-23</f>
        <v>3.7486145545559853E-3</v>
      </c>
      <c r="M8" s="1">
        <v>5700000</v>
      </c>
      <c r="N8" s="1">
        <f>M8/742</f>
        <v>7681.9407008086255</v>
      </c>
      <c r="O8">
        <v>5.7000000000000002E-3</v>
      </c>
      <c r="P8">
        <v>1.0999999999999999E-2</v>
      </c>
      <c r="Q8">
        <v>3.7499999999999999E-2</v>
      </c>
      <c r="R8" s="1">
        <v>3.0000000000000001E-3</v>
      </c>
      <c r="S8" s="1">
        <f>R8*Boger!$S$14/Boger!$R$14</f>
        <v>1.1950000000000001E-3</v>
      </c>
      <c r="T8" s="1">
        <f>R8/4</f>
        <v>7.5000000000000002E-4</v>
      </c>
      <c r="U8" s="1">
        <v>0.4</v>
      </c>
      <c r="V8" s="1">
        <f>SQRT(X8*T8^3/Q8)</f>
        <v>3.5464771252610668E-3</v>
      </c>
      <c r="W8" s="1">
        <f>O8/V8/6/Y8</f>
        <v>4.3181818181818183</v>
      </c>
      <c r="X8">
        <v>1118</v>
      </c>
      <c r="Y8" s="1">
        <f>P8/SQRT(X8*T8*Q8)</f>
        <v>6.2033390384212655E-2</v>
      </c>
      <c r="Z8" s="1">
        <v>0.05</v>
      </c>
      <c r="AA8" s="1">
        <f>Z8/V8</f>
        <v>14.098497814593786</v>
      </c>
      <c r="AB8">
        <v>2.6</v>
      </c>
      <c r="AC8">
        <f>2*3/4*LN(AB8)</f>
        <v>1.4332671675411546</v>
      </c>
      <c r="AD8" s="1">
        <f>AC8/AA8</f>
        <v>0.1016609844814485</v>
      </c>
      <c r="AE8" s="1">
        <v>1E-4</v>
      </c>
      <c r="AF8" s="1">
        <f>AE8*X$8/1000</f>
        <v>1.1180000000000001E-4</v>
      </c>
      <c r="AG8">
        <v>464</v>
      </c>
      <c r="AH8" s="1">
        <f t="shared" si="2"/>
        <v>4.9353994727687527E-2</v>
      </c>
      <c r="AI8">
        <v>0.35</v>
      </c>
      <c r="AJ8" s="1">
        <f t="shared" si="3"/>
        <v>6.7370389610389617E-2</v>
      </c>
      <c r="AK8">
        <v>0.81</v>
      </c>
      <c r="AL8" s="1">
        <f t="shared" si="4"/>
        <v>1.0183221480667972</v>
      </c>
      <c r="AM8">
        <v>1.58394754067118</v>
      </c>
      <c r="AN8">
        <v>1.0503995407359099</v>
      </c>
    </row>
    <row r="9" spans="1:40" x14ac:dyDescent="0.15">
      <c r="E9" s="1">
        <f t="shared" si="5"/>
        <v>0.15595862333949256</v>
      </c>
      <c r="AE9" s="1">
        <v>3.1599999999999998E-4</v>
      </c>
      <c r="AF9" s="1">
        <f t="shared" ref="AF9:AF15" si="6">AE9*X$8/1000</f>
        <v>3.53288E-4</v>
      </c>
      <c r="AG9">
        <v>464</v>
      </c>
      <c r="AH9" s="1">
        <f t="shared" si="2"/>
        <v>0.15595862333949256</v>
      </c>
      <c r="AI9">
        <v>0.35</v>
      </c>
      <c r="AJ9" s="1">
        <f t="shared" si="3"/>
        <v>0.21289043116883113</v>
      </c>
      <c r="AK9">
        <v>1.1100000000000001</v>
      </c>
      <c r="AL9" s="1">
        <f t="shared" si="4"/>
        <v>1.0590517912173973</v>
      </c>
      <c r="AM9">
        <v>2.2755708571008202</v>
      </c>
      <c r="AN9">
        <v>1.14075427642398</v>
      </c>
    </row>
    <row r="10" spans="1:40" x14ac:dyDescent="0.15">
      <c r="E10" s="1">
        <f t="shared" si="5"/>
        <v>0.49353994727687522</v>
      </c>
      <c r="AE10" s="1">
        <v>1E-3</v>
      </c>
      <c r="AF10" s="1">
        <f t="shared" si="6"/>
        <v>1.1180000000000001E-3</v>
      </c>
      <c r="AG10">
        <v>464</v>
      </c>
      <c r="AH10" s="1">
        <f t="shared" si="2"/>
        <v>0.49353994727687522</v>
      </c>
      <c r="AI10">
        <v>0.35</v>
      </c>
      <c r="AJ10" s="1">
        <f t="shared" si="3"/>
        <v>0.67370389610389603</v>
      </c>
      <c r="AK10">
        <v>2.3029999999999999</v>
      </c>
      <c r="AL10" s="1">
        <f t="shared" si="4"/>
        <v>1.1990903168230602</v>
      </c>
      <c r="AM10">
        <v>3.1338143424967599</v>
      </c>
      <c r="AN10">
        <v>1.16658168119119</v>
      </c>
    </row>
    <row r="11" spans="1:40" x14ac:dyDescent="0.15">
      <c r="E11" s="1">
        <f t="shared" si="5"/>
        <v>1.5595862333949257</v>
      </c>
      <c r="AE11" s="1">
        <v>3.16E-3</v>
      </c>
      <c r="AF11" s="1">
        <f t="shared" si="6"/>
        <v>3.53288E-3</v>
      </c>
      <c r="AG11">
        <v>464</v>
      </c>
      <c r="AH11" s="1">
        <f t="shared" si="2"/>
        <v>1.5595862333949257</v>
      </c>
      <c r="AI11">
        <v>0.35</v>
      </c>
      <c r="AJ11" s="1">
        <f t="shared" si="3"/>
        <v>2.1289043116883115</v>
      </c>
      <c r="AK11">
        <v>4.1020000000000003</v>
      </c>
      <c r="AL11" s="1">
        <f t="shared" si="4"/>
        <v>1.7748922413749981</v>
      </c>
      <c r="AM11">
        <v>4.33786958308281</v>
      </c>
      <c r="AN11">
        <v>1.1896945619074399</v>
      </c>
    </row>
    <row r="12" spans="1:40" x14ac:dyDescent="0.15">
      <c r="E12" s="1">
        <f t="shared" si="5"/>
        <v>4.9353994727687525</v>
      </c>
      <c r="AE12" s="1">
        <v>0.01</v>
      </c>
      <c r="AF12" s="1">
        <f t="shared" si="6"/>
        <v>1.1179999999999999E-2</v>
      </c>
      <c r="AG12">
        <v>464</v>
      </c>
      <c r="AH12" s="1">
        <f t="shared" si="2"/>
        <v>4.9353994727687525</v>
      </c>
      <c r="AI12">
        <v>0.35</v>
      </c>
      <c r="AJ12" s="1">
        <f t="shared" si="3"/>
        <v>6.7370389610389596</v>
      </c>
      <c r="AK12">
        <v>9.75</v>
      </c>
      <c r="AL12" s="1">
        <f t="shared" si="4"/>
        <v>6.1449585642940994</v>
      </c>
      <c r="AN12">
        <v>1.2844664043151599</v>
      </c>
    </row>
    <row r="13" spans="1:40" x14ac:dyDescent="0.15">
      <c r="E13" s="1">
        <f t="shared" si="5"/>
        <v>9.8707989455375049</v>
      </c>
      <c r="AE13" s="1">
        <v>0.02</v>
      </c>
      <c r="AF13" s="1">
        <f t="shared" si="6"/>
        <v>2.2359999999999998E-2</v>
      </c>
      <c r="AG13">
        <v>464</v>
      </c>
      <c r="AH13" s="1">
        <f t="shared" si="2"/>
        <v>9.8707989455375049</v>
      </c>
      <c r="AI13">
        <v>0.35</v>
      </c>
      <c r="AJ13" s="1">
        <f t="shared" si="3"/>
        <v>13.474077922077919</v>
      </c>
      <c r="AK13">
        <v>12.58</v>
      </c>
      <c r="AL13" s="1">
        <f t="shared" si="4"/>
        <v>37.760515756891394</v>
      </c>
      <c r="AN13">
        <v>1.51238645721313</v>
      </c>
    </row>
    <row r="14" spans="1:40" x14ac:dyDescent="0.15">
      <c r="E14" s="1">
        <f t="shared" si="5"/>
        <v>14.806198418306257</v>
      </c>
      <c r="AE14" s="1">
        <v>0.03</v>
      </c>
      <c r="AF14" s="1">
        <f t="shared" si="6"/>
        <v>3.354E-2</v>
      </c>
      <c r="AG14">
        <v>464</v>
      </c>
      <c r="AH14" s="1">
        <f t="shared" si="2"/>
        <v>14.806198418306257</v>
      </c>
      <c r="AI14">
        <v>0.35</v>
      </c>
      <c r="AJ14" s="1">
        <f t="shared" si="3"/>
        <v>20.211116883116883</v>
      </c>
      <c r="AK14">
        <v>19.79</v>
      </c>
      <c r="AL14" s="1">
        <f t="shared" si="4"/>
        <v>232.03680469247237</v>
      </c>
    </row>
    <row r="15" spans="1:40" x14ac:dyDescent="0.15">
      <c r="E15" s="1">
        <f t="shared" si="5"/>
        <v>24.676997363843768</v>
      </c>
      <c r="AE15" s="1">
        <v>0.05</v>
      </c>
      <c r="AF15" s="1">
        <f t="shared" si="6"/>
        <v>5.5900000000000005E-2</v>
      </c>
      <c r="AG15">
        <v>464</v>
      </c>
      <c r="AH15" s="1">
        <f t="shared" si="2"/>
        <v>24.676997363843768</v>
      </c>
      <c r="AI15">
        <v>0.35</v>
      </c>
      <c r="AJ15" s="1">
        <f t="shared" si="3"/>
        <v>33.685194805194811</v>
      </c>
      <c r="AK15">
        <v>95.07</v>
      </c>
      <c r="AL15" s="1">
        <f t="shared" si="4"/>
        <v>8761.8294197688501</v>
      </c>
    </row>
    <row r="16" spans="1:40" x14ac:dyDescent="0.15">
      <c r="A16" s="5" t="s">
        <v>128</v>
      </c>
      <c r="B16" s="1">
        <f>N16</f>
        <v>3773.5849056603774</v>
      </c>
      <c r="C16" s="1">
        <f>W16</f>
        <v>1.2878787878787878</v>
      </c>
      <c r="D16" s="1">
        <v>0.35</v>
      </c>
      <c r="E16" s="1">
        <f t="shared" ref="E16:E21" si="7">AH16</f>
        <v>3.0101682129171485</v>
      </c>
      <c r="F16">
        <v>0.55689999999999995</v>
      </c>
      <c r="G16" s="1">
        <f>1/D16/EXP(1)</f>
        <v>1.0510841176326924</v>
      </c>
      <c r="H16">
        <v>3</v>
      </c>
      <c r="I16" s="1">
        <f>Y16</f>
        <v>6.2033390384212655E-2</v>
      </c>
      <c r="J16" s="1"/>
      <c r="K16" s="1">
        <f>O16/L16</f>
        <v>1.3172050006689999</v>
      </c>
      <c r="L16" s="1">
        <f>0.3055*P16*0.0000000019^3*N16^1.5/300/1.38E-23</f>
        <v>1.2906115594281686E-3</v>
      </c>
      <c r="M16" s="1">
        <v>2800000</v>
      </c>
      <c r="N16" s="1">
        <f>M16/742</f>
        <v>3773.5849056603774</v>
      </c>
      <c r="O16">
        <v>1.6999999999999999E-3</v>
      </c>
      <c r="P16">
        <v>1.0999999999999999E-2</v>
      </c>
      <c r="Q16">
        <v>3.7499999999999999E-2</v>
      </c>
      <c r="R16" s="1">
        <v>3.0000000000000001E-3</v>
      </c>
      <c r="S16" s="1">
        <f>R16*Boger!$S$14/Boger!$R$14</f>
        <v>1.1950000000000001E-3</v>
      </c>
      <c r="T16" s="1">
        <f>R16/4</f>
        <v>7.5000000000000002E-4</v>
      </c>
      <c r="U16" s="1">
        <v>0.4</v>
      </c>
      <c r="V16" s="1">
        <f>SQRT(X16*T16^3/Q16)</f>
        <v>3.5464771252610668E-3</v>
      </c>
      <c r="W16" s="1">
        <f>O16/V16/6/Y16</f>
        <v>1.2878787878787878</v>
      </c>
      <c r="X16">
        <v>1118</v>
      </c>
      <c r="Y16" s="1">
        <f>P16/SQRT(X16*T16*Q16)</f>
        <v>6.2033390384212655E-2</v>
      </c>
      <c r="Z16" s="1">
        <v>0.05</v>
      </c>
      <c r="AA16" s="1">
        <f>Z16/V16</f>
        <v>14.098497814593786</v>
      </c>
      <c r="AB16">
        <v>2.6</v>
      </c>
      <c r="AC16">
        <f>2*3/4*LN(AB16)</f>
        <v>1.4332671675411546</v>
      </c>
      <c r="AD16" s="1">
        <f>AC16/AA16</f>
        <v>0.1016609844814485</v>
      </c>
      <c r="AE16" s="1">
        <v>0.01</v>
      </c>
      <c r="AF16" s="1">
        <f t="shared" ref="AF16:AF21" si="8">AE16*X$16/1000</f>
        <v>1.1179999999999999E-2</v>
      </c>
      <c r="AG16">
        <v>283</v>
      </c>
      <c r="AH16" s="1">
        <f t="shared" si="2"/>
        <v>3.0101682129171485</v>
      </c>
      <c r="AI16">
        <v>0.35</v>
      </c>
      <c r="AJ16" s="1">
        <f t="shared" si="3"/>
        <v>4.1090129870129868</v>
      </c>
      <c r="AK16">
        <v>7.0350000000000001</v>
      </c>
      <c r="AL16" s="1">
        <f t="shared" si="4"/>
        <v>3.0264157544604702</v>
      </c>
    </row>
    <row r="17" spans="5:42" x14ac:dyDescent="0.15">
      <c r="E17" s="1">
        <f t="shared" si="7"/>
        <v>4.2142354980840091</v>
      </c>
      <c r="AE17" s="1">
        <v>1.4E-2</v>
      </c>
      <c r="AF17" s="1">
        <f t="shared" si="8"/>
        <v>1.5652000000000003E-2</v>
      </c>
      <c r="AG17">
        <v>283</v>
      </c>
      <c r="AH17" s="1">
        <f t="shared" si="2"/>
        <v>4.2142354980840091</v>
      </c>
      <c r="AI17">
        <v>0.35</v>
      </c>
      <c r="AJ17" s="1">
        <f t="shared" si="3"/>
        <v>5.7526181818181819</v>
      </c>
      <c r="AK17">
        <v>11.042</v>
      </c>
      <c r="AL17" s="1">
        <f t="shared" si="4"/>
        <v>4.713028052134753</v>
      </c>
    </row>
    <row r="18" spans="5:42" x14ac:dyDescent="0.15">
      <c r="E18" s="1">
        <f t="shared" si="7"/>
        <v>6.0203364258342971</v>
      </c>
      <c r="AE18" s="1">
        <v>0.02</v>
      </c>
      <c r="AF18" s="1">
        <f t="shared" si="8"/>
        <v>2.2359999999999998E-2</v>
      </c>
      <c r="AG18">
        <v>283</v>
      </c>
      <c r="AH18" s="1">
        <f t="shared" si="2"/>
        <v>6.0203364258342971</v>
      </c>
      <c r="AI18">
        <v>0.35</v>
      </c>
      <c r="AJ18" s="1">
        <f t="shared" si="3"/>
        <v>8.2180259740259736</v>
      </c>
      <c r="AK18">
        <v>15.006</v>
      </c>
      <c r="AL18" s="1">
        <f t="shared" si="4"/>
        <v>9.1591923188465358</v>
      </c>
    </row>
    <row r="19" spans="5:42" x14ac:dyDescent="0.15">
      <c r="E19" s="1">
        <f t="shared" si="7"/>
        <v>9.0305046387514469</v>
      </c>
      <c r="AE19" s="1">
        <v>0.03</v>
      </c>
      <c r="AF19" s="1">
        <f t="shared" si="8"/>
        <v>3.354E-2</v>
      </c>
      <c r="AG19">
        <v>283</v>
      </c>
      <c r="AH19" s="1">
        <f t="shared" si="2"/>
        <v>9.0305046387514469</v>
      </c>
      <c r="AI19">
        <v>0.35</v>
      </c>
      <c r="AJ19" s="1">
        <f t="shared" si="3"/>
        <v>12.327038961038962</v>
      </c>
      <c r="AK19">
        <v>22.382000000000001</v>
      </c>
      <c r="AL19" s="1">
        <f t="shared" si="4"/>
        <v>27.719523931890496</v>
      </c>
    </row>
    <row r="20" spans="5:42" x14ac:dyDescent="0.15">
      <c r="E20" s="1">
        <f t="shared" si="7"/>
        <v>12.040672851668594</v>
      </c>
      <c r="AE20" s="1">
        <v>0.04</v>
      </c>
      <c r="AF20" s="1">
        <f t="shared" si="8"/>
        <v>4.4719999999999996E-2</v>
      </c>
      <c r="AG20">
        <v>283</v>
      </c>
      <c r="AH20" s="1">
        <f t="shared" si="2"/>
        <v>12.040672851668594</v>
      </c>
      <c r="AI20">
        <v>0.35</v>
      </c>
      <c r="AJ20" s="1">
        <f t="shared" si="3"/>
        <v>16.436051948051947</v>
      </c>
      <c r="AK20">
        <v>40.863999999999997</v>
      </c>
      <c r="AL20" s="1">
        <f t="shared" si="4"/>
        <v>83.890803933617391</v>
      </c>
    </row>
    <row r="21" spans="5:42" x14ac:dyDescent="0.15">
      <c r="E21" s="1">
        <f t="shared" si="7"/>
        <v>0</v>
      </c>
      <c r="AE21" s="1"/>
      <c r="AF21" s="1"/>
      <c r="AH21" s="1"/>
      <c r="AJ21" s="1"/>
      <c r="AL21" s="1"/>
    </row>
    <row r="22" spans="5:42" x14ac:dyDescent="0.15">
      <c r="E22" s="1"/>
    </row>
    <row r="23" spans="5:42" x14ac:dyDescent="0.15">
      <c r="E23" s="1"/>
      <c r="AK23">
        <v>1.1200000000000001</v>
      </c>
      <c r="AN23">
        <v>11185.98</v>
      </c>
      <c r="AO23">
        <v>6.3926186999999995E-2</v>
      </c>
      <c r="AP23">
        <v>1.0194543337036901</v>
      </c>
    </row>
    <row r="24" spans="5:42" x14ac:dyDescent="0.15">
      <c r="E24" s="1"/>
      <c r="AK24">
        <v>1.819</v>
      </c>
      <c r="AN24">
        <v>11185.98</v>
      </c>
      <c r="AO24">
        <v>0.20200675100000001</v>
      </c>
      <c r="AP24">
        <v>1.1123094762638599</v>
      </c>
    </row>
    <row r="25" spans="5:42" x14ac:dyDescent="0.15">
      <c r="E25" s="1"/>
      <c r="AK25">
        <v>2.7839999999999998</v>
      </c>
      <c r="AN25">
        <v>11185.98</v>
      </c>
      <c r="AO25">
        <v>0.63926187099999998</v>
      </c>
      <c r="AP25">
        <v>1.13625995264296</v>
      </c>
    </row>
    <row r="26" spans="5:42" x14ac:dyDescent="0.15">
      <c r="AK26">
        <v>6.7530000000000001</v>
      </c>
      <c r="AN26">
        <v>11185.98</v>
      </c>
      <c r="AO26">
        <v>2.020067514</v>
      </c>
      <c r="AP26">
        <v>1.15296625308692</v>
      </c>
    </row>
    <row r="27" spans="5:42" x14ac:dyDescent="0.15">
      <c r="AK27">
        <v>13.227</v>
      </c>
      <c r="AN27">
        <v>11185.98</v>
      </c>
      <c r="AO27">
        <v>6.3926187140000001</v>
      </c>
      <c r="AP27">
        <v>1.2105275445986801</v>
      </c>
    </row>
    <row r="28" spans="5:42" x14ac:dyDescent="0.15">
      <c r="AK28">
        <v>52.497999999999998</v>
      </c>
      <c r="AN28">
        <v>7681.94</v>
      </c>
      <c r="AO28">
        <v>4.9353994999999998E-2</v>
      </c>
      <c r="AP28">
        <v>1.0503995407359099</v>
      </c>
    </row>
    <row r="29" spans="5:42" x14ac:dyDescent="0.15">
      <c r="AK29">
        <v>0.81</v>
      </c>
      <c r="AN29">
        <v>7681.94</v>
      </c>
      <c r="AO29">
        <v>0.15595862299999999</v>
      </c>
      <c r="AP29">
        <v>1.14075427642398</v>
      </c>
    </row>
    <row r="30" spans="5:42" x14ac:dyDescent="0.15">
      <c r="AK30">
        <v>1.1100000000000001</v>
      </c>
      <c r="AN30">
        <v>7681.94</v>
      </c>
      <c r="AO30">
        <v>0.49353994699999998</v>
      </c>
      <c r="AP30">
        <v>1.16658168119119</v>
      </c>
    </row>
    <row r="31" spans="5:42" x14ac:dyDescent="0.15">
      <c r="AK31">
        <v>2.3029999999999999</v>
      </c>
      <c r="AN31">
        <v>7681.94</v>
      </c>
      <c r="AO31">
        <v>1.5595862330000001</v>
      </c>
      <c r="AP31">
        <v>1.1896945619074399</v>
      </c>
    </row>
    <row r="32" spans="5:42" x14ac:dyDescent="0.15">
      <c r="AK32">
        <v>4.1020000000000003</v>
      </c>
      <c r="AN32">
        <v>7681.94</v>
      </c>
      <c r="AO32">
        <v>4.9353994730000004</v>
      </c>
      <c r="AP32">
        <v>1.2844664043151599</v>
      </c>
    </row>
    <row r="33" spans="37:42" x14ac:dyDescent="0.15">
      <c r="AK33">
        <v>9.75</v>
      </c>
      <c r="AN33">
        <v>7681.94</v>
      </c>
      <c r="AO33">
        <v>9.8707989460000007</v>
      </c>
      <c r="AP33">
        <v>1.51238645721313</v>
      </c>
    </row>
    <row r="34" spans="37:42" x14ac:dyDescent="0.15">
      <c r="AK34">
        <v>12.58</v>
      </c>
      <c r="AN34">
        <v>3773.58</v>
      </c>
      <c r="AO34">
        <v>3.010168213</v>
      </c>
      <c r="AP34">
        <v>1.6208880548453899</v>
      </c>
    </row>
    <row r="35" spans="37:42" x14ac:dyDescent="0.15">
      <c r="AK35">
        <v>19.79</v>
      </c>
      <c r="AN35">
        <v>3773.58</v>
      </c>
      <c r="AO35">
        <v>4.2142354979999999</v>
      </c>
      <c r="AP35">
        <v>1.89592768328199</v>
      </c>
    </row>
    <row r="36" spans="37:42" x14ac:dyDescent="0.15">
      <c r="AK36">
        <v>95.07</v>
      </c>
      <c r="AN36">
        <v>3773.58</v>
      </c>
      <c r="AO36">
        <v>6.0203364260000001</v>
      </c>
      <c r="AP36">
        <v>2.38320556627421</v>
      </c>
    </row>
    <row r="37" spans="37:42" x14ac:dyDescent="0.15">
      <c r="AK37">
        <v>7.0350000000000001</v>
      </c>
      <c r="AN37">
        <v>3773.58</v>
      </c>
      <c r="AO37">
        <v>9.0305046390000001</v>
      </c>
      <c r="AP37">
        <v>3.30934944439996</v>
      </c>
    </row>
    <row r="38" spans="37:42" x14ac:dyDescent="0.15">
      <c r="AK38">
        <v>11.042</v>
      </c>
    </row>
    <row r="39" spans="37:42" x14ac:dyDescent="0.15">
      <c r="AK39">
        <v>15.006</v>
      </c>
    </row>
    <row r="40" spans="37:42" x14ac:dyDescent="0.15">
      <c r="AK40">
        <v>22.382000000000001</v>
      </c>
    </row>
    <row r="41" spans="37:42" x14ac:dyDescent="0.15">
      <c r="AK41">
        <v>40.863999999999997</v>
      </c>
    </row>
  </sheetData>
  <sortState xmlns:xlrd2="http://schemas.microsoft.com/office/spreadsheetml/2017/richdata2" ref="AN23:AP37">
    <sortCondition descending="1" ref="AN23:AN37"/>
    <sortCondition ref="AO23:AO37"/>
  </sortState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4"/>
  <sheetViews>
    <sheetView workbookViewId="0">
      <selection activeCell="AA2" sqref="AA2:AA26"/>
    </sheetView>
  </sheetViews>
  <sheetFormatPr baseColWidth="10" defaultRowHeight="13" x14ac:dyDescent="0.15"/>
  <sheetData>
    <row r="1" spans="1:27" x14ac:dyDescent="0.15">
      <c r="A1" t="s">
        <v>32</v>
      </c>
      <c r="B1" t="s">
        <v>38</v>
      </c>
      <c r="C1" t="s">
        <v>39</v>
      </c>
      <c r="D1" t="s">
        <v>37</v>
      </c>
      <c r="E1" t="s">
        <v>33</v>
      </c>
      <c r="F1" t="s">
        <v>34</v>
      </c>
      <c r="G1" t="s">
        <v>36</v>
      </c>
      <c r="H1" t="s">
        <v>50</v>
      </c>
      <c r="J1" t="s">
        <v>42</v>
      </c>
      <c r="K1" t="s">
        <v>49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58</v>
      </c>
      <c r="R1" t="s">
        <v>38</v>
      </c>
      <c r="S1" t="s">
        <v>51</v>
      </c>
      <c r="T1" t="s">
        <v>50</v>
      </c>
      <c r="U1" t="s">
        <v>76</v>
      </c>
      <c r="V1" t="s">
        <v>56</v>
      </c>
      <c r="W1" t="s">
        <v>57</v>
      </c>
      <c r="X1" t="s">
        <v>69</v>
      </c>
      <c r="Y1" t="s">
        <v>39</v>
      </c>
      <c r="Z1" t="s">
        <v>70</v>
      </c>
      <c r="AA1" t="s">
        <v>89</v>
      </c>
    </row>
    <row r="2" spans="1:27" ht="16" x14ac:dyDescent="0.2">
      <c r="A2" s="1">
        <f>K2</f>
        <v>2884.6153846153848</v>
      </c>
      <c r="B2" s="1">
        <f>R2</f>
        <v>0.15500000000000003</v>
      </c>
      <c r="C2" s="1">
        <v>0.34</v>
      </c>
      <c r="D2" s="1">
        <f>X2</f>
        <v>0.26247729335600539</v>
      </c>
      <c r="E2">
        <v>0.55689999999999995</v>
      </c>
      <c r="F2">
        <f>1/C2/EXP(1)</f>
        <v>1.0819983563865951</v>
      </c>
      <c r="G2">
        <v>3</v>
      </c>
      <c r="H2" s="1">
        <f>T2</f>
        <v>1.3139268713204765E-2</v>
      </c>
      <c r="J2">
        <f t="shared" ref="J2:J7" si="0">3*10^5</f>
        <v>300000</v>
      </c>
      <c r="K2" s="1">
        <f t="shared" ref="K2:K26" si="1">J2/104</f>
        <v>2884.6153846153848</v>
      </c>
      <c r="L2">
        <f t="shared" ref="L2:L7" si="2">0.000051</f>
        <v>5.1E-5</v>
      </c>
      <c r="M2">
        <v>3.3999999999999998E-3</v>
      </c>
      <c r="N2">
        <v>6.2E-2</v>
      </c>
      <c r="O2" s="1">
        <v>2E-3</v>
      </c>
      <c r="P2" s="1">
        <f t="shared" ref="P2:P26" si="3">O2/2</f>
        <v>1E-3</v>
      </c>
      <c r="Q2" s="1">
        <f t="shared" ref="Q2:Q26" si="4">SQRT(S2*P2^3/N2)</f>
        <v>4.1736500618415147E-3</v>
      </c>
      <c r="R2" s="1">
        <f t="shared" ref="R2:R26" si="5">L2/Q2/6/T2</f>
        <v>0.15500000000000003</v>
      </c>
      <c r="S2">
        <v>1080</v>
      </c>
      <c r="T2" s="1">
        <f t="shared" ref="T2:T26" si="6">M2/SQRT(S2*P2*N2)</f>
        <v>1.3139268713204765E-2</v>
      </c>
      <c r="U2" s="3">
        <v>0.28399999999999997</v>
      </c>
      <c r="V2" s="1">
        <f t="shared" ref="V2:V26" si="7">U2/W2</f>
        <v>1.0881226053639846E-3</v>
      </c>
      <c r="W2" s="1">
        <v>261</v>
      </c>
      <c r="X2" s="1">
        <f t="shared" ref="X2:X26" si="8">V2*W2*Y2*EXP(1)</f>
        <v>0.26247729335600539</v>
      </c>
      <c r="Y2">
        <v>0.34</v>
      </c>
      <c r="Z2">
        <v>7.38</v>
      </c>
      <c r="AA2">
        <v>1.5286138085157801</v>
      </c>
    </row>
    <row r="3" spans="1:27" ht="16" x14ac:dyDescent="0.2">
      <c r="A3" s="1">
        <f t="shared" ref="A3:A26" si="9">K3</f>
        <v>2884.6153846153848</v>
      </c>
      <c r="B3" s="1">
        <f t="shared" ref="B3:B26" si="10">R3</f>
        <v>0.15500000000000003</v>
      </c>
      <c r="C3" s="1">
        <v>0.34</v>
      </c>
      <c r="D3" s="1">
        <f t="shared" ref="D3:D26" si="11">X3</f>
        <v>0.2865069047195834</v>
      </c>
      <c r="E3">
        <v>0.55689999999999995</v>
      </c>
      <c r="F3">
        <f t="shared" ref="F3:F26" si="12">1/C3/EXP(1)</f>
        <v>1.0819983563865951</v>
      </c>
      <c r="G3">
        <v>3</v>
      </c>
      <c r="H3" s="1">
        <f t="shared" ref="H3:H26" si="13">T3</f>
        <v>1.3139268713204765E-2</v>
      </c>
      <c r="J3">
        <f t="shared" si="0"/>
        <v>300000</v>
      </c>
      <c r="K3" s="1">
        <f t="shared" si="1"/>
        <v>2884.6153846153848</v>
      </c>
      <c r="L3">
        <f t="shared" si="2"/>
        <v>5.1E-5</v>
      </c>
      <c r="M3">
        <v>3.3999999999999998E-3</v>
      </c>
      <c r="N3">
        <v>6.2E-2</v>
      </c>
      <c r="O3" s="1">
        <v>2E-3</v>
      </c>
      <c r="P3" s="1">
        <f t="shared" si="3"/>
        <v>1E-3</v>
      </c>
      <c r="Q3" s="1">
        <f t="shared" si="4"/>
        <v>4.1736500618415147E-3</v>
      </c>
      <c r="R3" s="1">
        <f t="shared" si="5"/>
        <v>0.15500000000000003</v>
      </c>
      <c r="S3">
        <v>1080</v>
      </c>
      <c r="T3" s="1">
        <f t="shared" si="6"/>
        <v>1.3139268713204765E-2</v>
      </c>
      <c r="U3" s="3">
        <v>0.31</v>
      </c>
      <c r="V3" s="1">
        <f t="shared" si="7"/>
        <v>1.1877394636015325E-3</v>
      </c>
      <c r="W3" s="1">
        <v>261</v>
      </c>
      <c r="X3" s="1">
        <f t="shared" si="8"/>
        <v>0.2865069047195834</v>
      </c>
      <c r="Y3">
        <v>0.34</v>
      </c>
      <c r="Z3">
        <v>5.52</v>
      </c>
      <c r="AA3">
        <v>1.56466145756445</v>
      </c>
    </row>
    <row r="4" spans="1:27" ht="16" x14ac:dyDescent="0.2">
      <c r="A4" s="1">
        <f t="shared" si="9"/>
        <v>2884.6153846153848</v>
      </c>
      <c r="B4" s="1">
        <f t="shared" si="10"/>
        <v>0.15500000000000003</v>
      </c>
      <c r="C4" s="1">
        <v>0.34</v>
      </c>
      <c r="D4" s="1">
        <f t="shared" si="11"/>
        <v>0.52125772342530641</v>
      </c>
      <c r="E4">
        <v>0.55689999999999995</v>
      </c>
      <c r="F4">
        <f t="shared" si="12"/>
        <v>1.0819983563865951</v>
      </c>
      <c r="G4">
        <v>3</v>
      </c>
      <c r="H4" s="1">
        <f t="shared" si="13"/>
        <v>1.3139268713204765E-2</v>
      </c>
      <c r="J4">
        <f t="shared" si="0"/>
        <v>300000</v>
      </c>
      <c r="K4" s="1">
        <f t="shared" si="1"/>
        <v>2884.6153846153848</v>
      </c>
      <c r="L4">
        <f t="shared" si="2"/>
        <v>5.1E-5</v>
      </c>
      <c r="M4">
        <v>3.3999999999999998E-3</v>
      </c>
      <c r="N4">
        <v>6.2E-2</v>
      </c>
      <c r="O4" s="1">
        <v>2E-3</v>
      </c>
      <c r="P4" s="1">
        <f t="shared" si="3"/>
        <v>1E-3</v>
      </c>
      <c r="Q4" s="1">
        <f t="shared" si="4"/>
        <v>4.1736500618415147E-3</v>
      </c>
      <c r="R4" s="1">
        <f t="shared" si="5"/>
        <v>0.15500000000000003</v>
      </c>
      <c r="S4">
        <v>1080</v>
      </c>
      <c r="T4" s="1">
        <f t="shared" si="6"/>
        <v>1.3139268713204765E-2</v>
      </c>
      <c r="U4" s="2">
        <v>0.56399999999999995</v>
      </c>
      <c r="V4" s="1">
        <f t="shared" si="7"/>
        <v>2.160919540229885E-3</v>
      </c>
      <c r="W4" s="1">
        <v>261</v>
      </c>
      <c r="X4" s="1">
        <f t="shared" si="8"/>
        <v>0.52125772342530641</v>
      </c>
      <c r="Y4">
        <v>0.34</v>
      </c>
      <c r="Z4">
        <f>26.5</f>
        <v>26.5</v>
      </c>
      <c r="AA4">
        <v>1.8449630672525801</v>
      </c>
    </row>
    <row r="5" spans="1:27" ht="16" x14ac:dyDescent="0.2">
      <c r="A5" s="1">
        <f t="shared" si="9"/>
        <v>2884.6153846153848</v>
      </c>
      <c r="B5" s="1">
        <f t="shared" si="10"/>
        <v>0.15500000000000003</v>
      </c>
      <c r="C5" s="1">
        <v>0.34</v>
      </c>
      <c r="D5" s="1">
        <f t="shared" si="11"/>
        <v>0.69963137700878897</v>
      </c>
      <c r="E5">
        <v>0.55689999999999995</v>
      </c>
      <c r="F5">
        <f t="shared" si="12"/>
        <v>1.0819983563865951</v>
      </c>
      <c r="G5">
        <v>3</v>
      </c>
      <c r="H5" s="1">
        <f t="shared" si="13"/>
        <v>1.3139268713204765E-2</v>
      </c>
      <c r="J5">
        <f t="shared" si="0"/>
        <v>300000</v>
      </c>
      <c r="K5" s="1">
        <f t="shared" si="1"/>
        <v>2884.6153846153848</v>
      </c>
      <c r="L5">
        <f t="shared" si="2"/>
        <v>5.1E-5</v>
      </c>
      <c r="M5">
        <v>3.3999999999999998E-3</v>
      </c>
      <c r="N5">
        <v>6.2E-2</v>
      </c>
      <c r="O5" s="1">
        <v>2E-3</v>
      </c>
      <c r="P5" s="1">
        <f t="shared" si="3"/>
        <v>1E-3</v>
      </c>
      <c r="Q5" s="1">
        <f t="shared" si="4"/>
        <v>4.1736500618415147E-3</v>
      </c>
      <c r="R5" s="1">
        <f t="shared" si="5"/>
        <v>0.15500000000000003</v>
      </c>
      <c r="S5">
        <v>1080</v>
      </c>
      <c r="T5" s="1">
        <f t="shared" si="6"/>
        <v>1.3139268713204765E-2</v>
      </c>
      <c r="U5" s="3">
        <v>0.75700000000000001</v>
      </c>
      <c r="V5" s="1">
        <f t="shared" si="7"/>
        <v>2.9003831417624523E-3</v>
      </c>
      <c r="W5" s="1">
        <v>261</v>
      </c>
      <c r="X5" s="1">
        <f t="shared" si="8"/>
        <v>0.69963137700878897</v>
      </c>
      <c r="Y5">
        <v>0.34</v>
      </c>
      <c r="Z5">
        <v>8.2799999999999994</v>
      </c>
      <c r="AA5">
        <v>2.0052727041537599</v>
      </c>
    </row>
    <row r="6" spans="1:27" ht="16" x14ac:dyDescent="0.2">
      <c r="A6" s="1">
        <f t="shared" si="9"/>
        <v>2884.6153846153848</v>
      </c>
      <c r="B6" s="1">
        <f t="shared" si="10"/>
        <v>0.15500000000000003</v>
      </c>
      <c r="C6" s="1">
        <v>0.34</v>
      </c>
      <c r="D6" s="1">
        <f t="shared" si="11"/>
        <v>0.86136914580210233</v>
      </c>
      <c r="E6">
        <v>0.55689999999999995</v>
      </c>
      <c r="F6">
        <f t="shared" si="12"/>
        <v>1.0819983563865951</v>
      </c>
      <c r="G6">
        <v>3</v>
      </c>
      <c r="H6" s="1">
        <f t="shared" si="13"/>
        <v>1.3139268713204765E-2</v>
      </c>
      <c r="J6">
        <f t="shared" si="0"/>
        <v>300000</v>
      </c>
      <c r="K6" s="1">
        <f t="shared" si="1"/>
        <v>2884.6153846153848</v>
      </c>
      <c r="L6">
        <f t="shared" si="2"/>
        <v>5.1E-5</v>
      </c>
      <c r="M6">
        <v>3.3999999999999998E-3</v>
      </c>
      <c r="N6">
        <v>6.2E-2</v>
      </c>
      <c r="O6" s="1">
        <v>2E-3</v>
      </c>
      <c r="P6" s="1">
        <f t="shared" si="3"/>
        <v>1E-3</v>
      </c>
      <c r="Q6" s="1">
        <f t="shared" si="4"/>
        <v>4.1736500618415147E-3</v>
      </c>
      <c r="R6" s="1">
        <f t="shared" si="5"/>
        <v>0.15500000000000003</v>
      </c>
      <c r="S6">
        <v>1080</v>
      </c>
      <c r="T6" s="1">
        <f t="shared" si="6"/>
        <v>1.3139268713204765E-2</v>
      </c>
      <c r="U6" s="3">
        <v>0.93200000000000005</v>
      </c>
      <c r="V6" s="1">
        <f t="shared" si="7"/>
        <v>3.5708812260536399E-3</v>
      </c>
      <c r="W6" s="1">
        <v>261</v>
      </c>
      <c r="X6" s="1">
        <f t="shared" si="8"/>
        <v>0.86136914580210233</v>
      </c>
      <c r="Y6">
        <v>0.34</v>
      </c>
      <c r="Z6">
        <v>21.4</v>
      </c>
      <c r="AA6">
        <v>2.12730411100349</v>
      </c>
    </row>
    <row r="7" spans="1:27" ht="16" x14ac:dyDescent="0.2">
      <c r="A7" s="1">
        <f t="shared" si="9"/>
        <v>2884.6153846153848</v>
      </c>
      <c r="B7" s="1">
        <f t="shared" si="10"/>
        <v>0.15500000000000003</v>
      </c>
      <c r="C7" s="1">
        <v>0.34</v>
      </c>
      <c r="D7" s="1">
        <f t="shared" si="11"/>
        <v>0.86229336162377845</v>
      </c>
      <c r="E7">
        <v>0.55689999999999995</v>
      </c>
      <c r="F7">
        <f t="shared" si="12"/>
        <v>1.0819983563865951</v>
      </c>
      <c r="G7">
        <v>3</v>
      </c>
      <c r="H7" s="1">
        <f t="shared" si="13"/>
        <v>1.3139268713204765E-2</v>
      </c>
      <c r="J7">
        <f t="shared" si="0"/>
        <v>300000</v>
      </c>
      <c r="K7" s="1">
        <f t="shared" si="1"/>
        <v>2884.6153846153848</v>
      </c>
      <c r="L7">
        <f t="shared" si="2"/>
        <v>5.1E-5</v>
      </c>
      <c r="M7">
        <v>3.3999999999999998E-3</v>
      </c>
      <c r="N7">
        <v>6.2E-2</v>
      </c>
      <c r="O7" s="1">
        <v>2E-3</v>
      </c>
      <c r="P7" s="1">
        <f t="shared" si="3"/>
        <v>1E-3</v>
      </c>
      <c r="Q7" s="1">
        <f t="shared" si="4"/>
        <v>4.1736500618415147E-3</v>
      </c>
      <c r="R7" s="1">
        <f t="shared" si="5"/>
        <v>0.15500000000000003</v>
      </c>
      <c r="S7">
        <v>1080</v>
      </c>
      <c r="T7" s="1">
        <f t="shared" si="6"/>
        <v>1.3139268713204765E-2</v>
      </c>
      <c r="U7" s="3">
        <v>0.93300000000000005</v>
      </c>
      <c r="V7" s="1">
        <f t="shared" si="7"/>
        <v>3.574712643678161E-3</v>
      </c>
      <c r="W7" s="1">
        <v>261</v>
      </c>
      <c r="X7" s="1">
        <f t="shared" si="8"/>
        <v>0.86229336162377845</v>
      </c>
      <c r="Y7">
        <v>0.34</v>
      </c>
      <c r="Z7">
        <v>10.7</v>
      </c>
      <c r="AA7">
        <v>2.12795148866432</v>
      </c>
    </row>
    <row r="8" spans="1:27" ht="16" x14ac:dyDescent="0.2">
      <c r="A8" s="1">
        <f t="shared" si="9"/>
        <v>5769.2307692307695</v>
      </c>
      <c r="B8" s="1">
        <f t="shared" si="10"/>
        <v>0.48627450980392173</v>
      </c>
      <c r="C8" s="1">
        <v>0.34</v>
      </c>
      <c r="D8" s="1">
        <f t="shared" si="11"/>
        <v>0.71996412508566277</v>
      </c>
      <c r="E8">
        <v>0.55689999999999995</v>
      </c>
      <c r="F8">
        <f t="shared" si="12"/>
        <v>1.0819983563865951</v>
      </c>
      <c r="G8">
        <v>3</v>
      </c>
      <c r="H8" s="1">
        <f t="shared" si="13"/>
        <v>1.3139268713204765E-2</v>
      </c>
      <c r="J8" s="4">
        <f>6*10^5</f>
        <v>600000</v>
      </c>
      <c r="K8" s="1">
        <f t="shared" si="1"/>
        <v>5769.2307692307695</v>
      </c>
      <c r="L8">
        <f>0.00016</f>
        <v>1.6000000000000001E-4</v>
      </c>
      <c r="M8">
        <v>3.3999999999999998E-3</v>
      </c>
      <c r="N8">
        <v>6.2E-2</v>
      </c>
      <c r="O8" s="1">
        <v>2E-3</v>
      </c>
      <c r="P8" s="1">
        <f t="shared" si="3"/>
        <v>1E-3</v>
      </c>
      <c r="Q8" s="1">
        <f t="shared" si="4"/>
        <v>4.1736500618415147E-3</v>
      </c>
      <c r="R8" s="1">
        <f t="shared" si="5"/>
        <v>0.48627450980392173</v>
      </c>
      <c r="S8">
        <v>1080</v>
      </c>
      <c r="T8" s="1">
        <f t="shared" si="6"/>
        <v>1.3139268713204765E-2</v>
      </c>
      <c r="U8" s="3">
        <v>0.77900000000000003</v>
      </c>
      <c r="V8" s="1">
        <f t="shared" si="7"/>
        <v>1.9E-3</v>
      </c>
      <c r="W8" s="1">
        <v>410</v>
      </c>
      <c r="X8" s="1">
        <f t="shared" si="8"/>
        <v>0.71996412508566277</v>
      </c>
      <c r="Y8">
        <v>0.34</v>
      </c>
      <c r="Z8">
        <v>11.6</v>
      </c>
      <c r="AA8">
        <v>2.5475418762067599</v>
      </c>
    </row>
    <row r="9" spans="1:27" ht="16" x14ac:dyDescent="0.2">
      <c r="A9" s="1">
        <f t="shared" si="9"/>
        <v>9615.3846153846152</v>
      </c>
      <c r="B9" s="1">
        <f t="shared" si="10"/>
        <v>1.1245098039215689</v>
      </c>
      <c r="C9" s="1">
        <v>0.34</v>
      </c>
      <c r="D9" s="1">
        <f t="shared" si="11"/>
        <v>1.1460276188783335E-2</v>
      </c>
      <c r="E9">
        <v>0.55689999999999995</v>
      </c>
      <c r="F9">
        <f t="shared" si="12"/>
        <v>1.0819983563865951</v>
      </c>
      <c r="G9">
        <v>3</v>
      </c>
      <c r="H9" s="1">
        <f t="shared" si="13"/>
        <v>1.3139268713204765E-2</v>
      </c>
      <c r="J9" s="4">
        <f t="shared" ref="J9:J16" si="14">1*10^6</f>
        <v>1000000</v>
      </c>
      <c r="K9" s="1">
        <f t="shared" si="1"/>
        <v>9615.3846153846152</v>
      </c>
      <c r="L9">
        <f t="shared" ref="L9:L16" si="15">0.00037</f>
        <v>3.6999999999999999E-4</v>
      </c>
      <c r="M9">
        <v>3.3999999999999998E-3</v>
      </c>
      <c r="N9">
        <v>6.2E-2</v>
      </c>
      <c r="O9" s="1">
        <v>2E-3</v>
      </c>
      <c r="P9" s="1">
        <f t="shared" si="3"/>
        <v>1E-3</v>
      </c>
      <c r="Q9" s="1">
        <f t="shared" si="4"/>
        <v>4.1736500618415147E-3</v>
      </c>
      <c r="R9" s="1">
        <f t="shared" si="5"/>
        <v>1.1245098039215689</v>
      </c>
      <c r="S9">
        <v>1080</v>
      </c>
      <c r="T9" s="1">
        <f t="shared" si="6"/>
        <v>1.3139268713204765E-2</v>
      </c>
      <c r="U9" s="3">
        <v>1.24E-2</v>
      </c>
      <c r="V9" s="1">
        <f t="shared" si="7"/>
        <v>2.1678321678321677E-5</v>
      </c>
      <c r="W9" s="1">
        <v>572</v>
      </c>
      <c r="X9" s="1">
        <f t="shared" si="8"/>
        <v>1.1460276188783335E-2</v>
      </c>
      <c r="Y9">
        <v>0.34</v>
      </c>
      <c r="Z9">
        <v>1.07</v>
      </c>
      <c r="AA9">
        <v>1.1267173291733601</v>
      </c>
    </row>
    <row r="10" spans="1:27" ht="16" x14ac:dyDescent="0.2">
      <c r="A10" s="1">
        <f t="shared" si="9"/>
        <v>9615.3846153846152</v>
      </c>
      <c r="B10" s="1">
        <f t="shared" si="10"/>
        <v>1.1245098039215689</v>
      </c>
      <c r="C10" s="1">
        <v>0.34</v>
      </c>
      <c r="D10" s="1">
        <f t="shared" si="11"/>
        <v>2.8558268889790732E-2</v>
      </c>
      <c r="E10">
        <v>0.55689999999999995</v>
      </c>
      <c r="F10">
        <f t="shared" si="12"/>
        <v>1.0819983563865951</v>
      </c>
      <c r="G10">
        <v>3</v>
      </c>
      <c r="H10" s="1">
        <f t="shared" si="13"/>
        <v>1.3139268713204765E-2</v>
      </c>
      <c r="J10" s="4">
        <f t="shared" si="14"/>
        <v>1000000</v>
      </c>
      <c r="K10" s="1">
        <f t="shared" si="1"/>
        <v>9615.3846153846152</v>
      </c>
      <c r="L10">
        <f t="shared" si="15"/>
        <v>3.6999999999999999E-4</v>
      </c>
      <c r="M10">
        <v>3.3999999999999998E-3</v>
      </c>
      <c r="N10">
        <v>6.2E-2</v>
      </c>
      <c r="O10" s="1">
        <v>2E-3</v>
      </c>
      <c r="P10" s="1">
        <f t="shared" si="3"/>
        <v>1E-3</v>
      </c>
      <c r="Q10" s="1">
        <f t="shared" si="4"/>
        <v>4.1736500618415147E-3</v>
      </c>
      <c r="R10" s="1">
        <f t="shared" si="5"/>
        <v>1.1245098039215689</v>
      </c>
      <c r="S10">
        <v>1080</v>
      </c>
      <c r="T10" s="1">
        <f t="shared" si="6"/>
        <v>1.3139268713204765E-2</v>
      </c>
      <c r="U10" s="3">
        <v>3.09E-2</v>
      </c>
      <c r="V10" s="1">
        <f t="shared" si="7"/>
        <v>5.402097902097902E-5</v>
      </c>
      <c r="W10" s="1">
        <v>572</v>
      </c>
      <c r="X10" s="1">
        <f t="shared" si="8"/>
        <v>2.8558268889790732E-2</v>
      </c>
      <c r="Y10">
        <v>0.34</v>
      </c>
      <c r="Z10">
        <v>1.49</v>
      </c>
      <c r="AA10">
        <v>1.3982007016576601</v>
      </c>
    </row>
    <row r="11" spans="1:27" ht="16" x14ac:dyDescent="0.2">
      <c r="A11" s="1">
        <f t="shared" si="9"/>
        <v>9615.3846153846152</v>
      </c>
      <c r="B11" s="1">
        <f t="shared" si="10"/>
        <v>1.1245098039215689</v>
      </c>
      <c r="C11" s="1">
        <v>0.34</v>
      </c>
      <c r="D11" s="1">
        <f t="shared" si="11"/>
        <v>2.8650690471958336E-2</v>
      </c>
      <c r="E11">
        <v>0.55689999999999995</v>
      </c>
      <c r="F11">
        <f t="shared" si="12"/>
        <v>1.0819983563865951</v>
      </c>
      <c r="G11">
        <v>3</v>
      </c>
      <c r="H11" s="1">
        <f t="shared" si="13"/>
        <v>1.3139268713204765E-2</v>
      </c>
      <c r="J11" s="4">
        <f t="shared" si="14"/>
        <v>1000000</v>
      </c>
      <c r="K11" s="1">
        <f t="shared" si="1"/>
        <v>9615.3846153846152</v>
      </c>
      <c r="L11">
        <f t="shared" si="15"/>
        <v>3.6999999999999999E-4</v>
      </c>
      <c r="M11">
        <v>3.3999999999999998E-3</v>
      </c>
      <c r="N11">
        <v>6.2E-2</v>
      </c>
      <c r="O11" s="1">
        <v>2E-3</v>
      </c>
      <c r="P11" s="1">
        <f t="shared" si="3"/>
        <v>1E-3</v>
      </c>
      <c r="Q11" s="1">
        <f t="shared" si="4"/>
        <v>4.1736500618415147E-3</v>
      </c>
      <c r="R11" s="1">
        <f t="shared" si="5"/>
        <v>1.1245098039215689</v>
      </c>
      <c r="S11">
        <v>1080</v>
      </c>
      <c r="T11" s="1">
        <f t="shared" si="6"/>
        <v>1.3139268713204765E-2</v>
      </c>
      <c r="U11" s="3">
        <v>3.1E-2</v>
      </c>
      <c r="V11" s="1">
        <f t="shared" si="7"/>
        <v>5.4195804195804193E-5</v>
      </c>
      <c r="W11" s="1">
        <v>572</v>
      </c>
      <c r="X11" s="1">
        <f t="shared" si="8"/>
        <v>2.8650690471958336E-2</v>
      </c>
      <c r="Y11">
        <v>0.34</v>
      </c>
      <c r="Z11">
        <v>1.69</v>
      </c>
      <c r="AA11">
        <v>1.3991266483565801</v>
      </c>
    </row>
    <row r="12" spans="1:27" ht="16" x14ac:dyDescent="0.2">
      <c r="A12" s="1">
        <f t="shared" si="9"/>
        <v>9615.3846153846152</v>
      </c>
      <c r="B12" s="1">
        <f t="shared" si="10"/>
        <v>1.1245098039215689</v>
      </c>
      <c r="C12" s="1">
        <v>0.34</v>
      </c>
      <c r="D12" s="1">
        <f t="shared" si="11"/>
        <v>5.6746851450911032E-2</v>
      </c>
      <c r="E12">
        <v>0.55689999999999995</v>
      </c>
      <c r="F12">
        <f t="shared" si="12"/>
        <v>1.0819983563865951</v>
      </c>
      <c r="G12">
        <v>3</v>
      </c>
      <c r="H12" s="1">
        <f t="shared" si="13"/>
        <v>1.3139268713204765E-2</v>
      </c>
      <c r="J12" s="4">
        <f t="shared" si="14"/>
        <v>1000000</v>
      </c>
      <c r="K12" s="1">
        <f t="shared" si="1"/>
        <v>9615.3846153846152</v>
      </c>
      <c r="L12">
        <f t="shared" si="15"/>
        <v>3.6999999999999999E-4</v>
      </c>
      <c r="M12">
        <v>3.3999999999999998E-3</v>
      </c>
      <c r="N12">
        <v>6.2E-2</v>
      </c>
      <c r="O12" s="1">
        <v>2E-3</v>
      </c>
      <c r="P12" s="1">
        <f t="shared" si="3"/>
        <v>1E-3</v>
      </c>
      <c r="Q12" s="1">
        <f t="shared" si="4"/>
        <v>4.1736500618415147E-3</v>
      </c>
      <c r="R12" s="1">
        <f t="shared" si="5"/>
        <v>1.1245098039215689</v>
      </c>
      <c r="S12">
        <v>1080</v>
      </c>
      <c r="T12" s="1">
        <f t="shared" si="6"/>
        <v>1.3139268713204765E-2</v>
      </c>
      <c r="U12" s="3">
        <v>6.1400000000000003E-2</v>
      </c>
      <c r="V12" s="1">
        <f t="shared" si="7"/>
        <v>1.0734265734265735E-4</v>
      </c>
      <c r="W12" s="1">
        <v>572</v>
      </c>
      <c r="X12" s="1">
        <f t="shared" si="8"/>
        <v>5.6746851450911032E-2</v>
      </c>
      <c r="Y12">
        <v>0.34</v>
      </c>
      <c r="Z12">
        <v>3.05</v>
      </c>
      <c r="AA12">
        <v>1.60626023865413</v>
      </c>
    </row>
    <row r="13" spans="1:27" ht="16" x14ac:dyDescent="0.2">
      <c r="A13" s="1">
        <f t="shared" si="9"/>
        <v>9615.3846153846152</v>
      </c>
      <c r="B13" s="1">
        <f t="shared" si="10"/>
        <v>1.1245098039215689</v>
      </c>
      <c r="C13" s="1">
        <v>0.34</v>
      </c>
      <c r="D13" s="1">
        <f t="shared" si="11"/>
        <v>0.11460276188783335</v>
      </c>
      <c r="E13">
        <v>0.55689999999999995</v>
      </c>
      <c r="F13">
        <f t="shared" si="12"/>
        <v>1.0819983563865951</v>
      </c>
      <c r="G13">
        <v>3</v>
      </c>
      <c r="H13" s="1">
        <f t="shared" si="13"/>
        <v>1.3139268713204765E-2</v>
      </c>
      <c r="J13" s="4">
        <f t="shared" si="14"/>
        <v>1000000</v>
      </c>
      <c r="K13" s="1">
        <f t="shared" si="1"/>
        <v>9615.3846153846152</v>
      </c>
      <c r="L13">
        <f t="shared" si="15"/>
        <v>3.6999999999999999E-4</v>
      </c>
      <c r="M13">
        <v>3.3999999999999998E-3</v>
      </c>
      <c r="N13">
        <v>6.2E-2</v>
      </c>
      <c r="O13" s="1">
        <v>2E-3</v>
      </c>
      <c r="P13" s="1">
        <f t="shared" si="3"/>
        <v>1E-3</v>
      </c>
      <c r="Q13" s="1">
        <f t="shared" si="4"/>
        <v>4.1736500618415147E-3</v>
      </c>
      <c r="R13" s="1">
        <f t="shared" si="5"/>
        <v>1.1245098039215689</v>
      </c>
      <c r="S13">
        <v>1080</v>
      </c>
      <c r="T13" s="1">
        <f t="shared" si="6"/>
        <v>1.3139268713204765E-2</v>
      </c>
      <c r="U13" s="3">
        <v>0.124</v>
      </c>
      <c r="V13" s="1">
        <f t="shared" si="7"/>
        <v>2.1678321678321677E-4</v>
      </c>
      <c r="W13" s="1">
        <v>572</v>
      </c>
      <c r="X13" s="1">
        <f t="shared" si="8"/>
        <v>0.11460276188783335</v>
      </c>
      <c r="Y13">
        <v>0.34</v>
      </c>
      <c r="Z13">
        <v>6.21</v>
      </c>
      <c r="AA13">
        <v>1.8772847846462399</v>
      </c>
    </row>
    <row r="14" spans="1:27" ht="16" x14ac:dyDescent="0.2">
      <c r="A14" s="1">
        <f t="shared" si="9"/>
        <v>9615.3846153846152</v>
      </c>
      <c r="B14" s="1">
        <f t="shared" si="10"/>
        <v>1.1245098039215689</v>
      </c>
      <c r="C14" s="1">
        <v>0.34</v>
      </c>
      <c r="D14" s="1">
        <f t="shared" si="11"/>
        <v>0.28835533636293553</v>
      </c>
      <c r="E14">
        <v>0.55689999999999995</v>
      </c>
      <c r="F14">
        <f t="shared" si="12"/>
        <v>1.0819983563865951</v>
      </c>
      <c r="G14">
        <v>3</v>
      </c>
      <c r="H14" s="1">
        <f t="shared" si="13"/>
        <v>1.3139268713204765E-2</v>
      </c>
      <c r="J14" s="4">
        <f t="shared" si="14"/>
        <v>1000000</v>
      </c>
      <c r="K14" s="1">
        <f t="shared" si="1"/>
        <v>9615.3846153846152</v>
      </c>
      <c r="L14">
        <f t="shared" si="15"/>
        <v>3.6999999999999999E-4</v>
      </c>
      <c r="M14">
        <v>3.3999999999999998E-3</v>
      </c>
      <c r="N14">
        <v>6.2E-2</v>
      </c>
      <c r="O14" s="1">
        <v>2E-3</v>
      </c>
      <c r="P14" s="1">
        <f t="shared" si="3"/>
        <v>1E-3</v>
      </c>
      <c r="Q14" s="1">
        <f t="shared" si="4"/>
        <v>4.1736500618415147E-3</v>
      </c>
      <c r="R14" s="1">
        <f t="shared" si="5"/>
        <v>1.1245098039215689</v>
      </c>
      <c r="S14">
        <v>1080</v>
      </c>
      <c r="T14" s="1">
        <f t="shared" si="6"/>
        <v>1.3139268713204765E-2</v>
      </c>
      <c r="U14" s="3">
        <v>0.312</v>
      </c>
      <c r="V14" s="1">
        <f t="shared" si="7"/>
        <v>5.4545454545454548E-4</v>
      </c>
      <c r="W14" s="1">
        <v>572</v>
      </c>
      <c r="X14" s="1">
        <f t="shared" si="8"/>
        <v>0.28835533636293553</v>
      </c>
      <c r="Y14">
        <v>0.34</v>
      </c>
      <c r="Z14">
        <v>8.41</v>
      </c>
      <c r="AA14">
        <v>2.3716494167117999</v>
      </c>
    </row>
    <row r="15" spans="1:27" ht="16" x14ac:dyDescent="0.2">
      <c r="A15" s="1">
        <f t="shared" si="9"/>
        <v>9615.3846153846152</v>
      </c>
      <c r="B15" s="1">
        <f t="shared" si="10"/>
        <v>1.1245098039215689</v>
      </c>
      <c r="C15" s="1">
        <v>0.34</v>
      </c>
      <c r="D15" s="1">
        <f t="shared" si="11"/>
        <v>0.56931694615246242</v>
      </c>
      <c r="E15">
        <v>0.55689999999999995</v>
      </c>
      <c r="F15">
        <f t="shared" si="12"/>
        <v>1.0819983563865951</v>
      </c>
      <c r="G15">
        <v>3</v>
      </c>
      <c r="H15" s="1">
        <f t="shared" si="13"/>
        <v>1.3139268713204765E-2</v>
      </c>
      <c r="J15" s="4">
        <f t="shared" si="14"/>
        <v>1000000</v>
      </c>
      <c r="K15" s="1">
        <f t="shared" si="1"/>
        <v>9615.3846153846152</v>
      </c>
      <c r="L15">
        <f t="shared" si="15"/>
        <v>3.6999999999999999E-4</v>
      </c>
      <c r="M15">
        <v>3.3999999999999998E-3</v>
      </c>
      <c r="N15">
        <v>6.2E-2</v>
      </c>
      <c r="O15" s="1">
        <v>2E-3</v>
      </c>
      <c r="P15" s="1">
        <f t="shared" si="3"/>
        <v>1E-3</v>
      </c>
      <c r="Q15" s="1">
        <f t="shared" si="4"/>
        <v>4.1736500618415147E-3</v>
      </c>
      <c r="R15" s="1">
        <f t="shared" si="5"/>
        <v>1.1245098039215689</v>
      </c>
      <c r="S15">
        <v>1080</v>
      </c>
      <c r="T15" s="1">
        <f t="shared" si="6"/>
        <v>1.3139268713204765E-2</v>
      </c>
      <c r="U15" s="3">
        <v>0.61599999999999999</v>
      </c>
      <c r="V15" s="1">
        <f t="shared" si="7"/>
        <v>1.0769230769230769E-3</v>
      </c>
      <c r="W15" s="1">
        <v>572</v>
      </c>
      <c r="X15" s="1">
        <f t="shared" si="8"/>
        <v>0.56931694615246242</v>
      </c>
      <c r="Y15">
        <v>0.34</v>
      </c>
      <c r="Z15">
        <v>13.9</v>
      </c>
      <c r="AA15">
        <v>2.8650434190167502</v>
      </c>
    </row>
    <row r="16" spans="1:27" ht="16" x14ac:dyDescent="0.2">
      <c r="A16" s="1">
        <f t="shared" si="9"/>
        <v>9615.3846153846152</v>
      </c>
      <c r="B16" s="1">
        <f t="shared" si="10"/>
        <v>1.1245098039215689</v>
      </c>
      <c r="C16" s="1">
        <v>0.34</v>
      </c>
      <c r="D16" s="1">
        <f t="shared" si="11"/>
        <v>0.57116537779581456</v>
      </c>
      <c r="E16">
        <v>0.55689999999999995</v>
      </c>
      <c r="F16">
        <f t="shared" si="12"/>
        <v>1.0819983563865951</v>
      </c>
      <c r="G16">
        <v>3</v>
      </c>
      <c r="H16" s="1">
        <f t="shared" si="13"/>
        <v>1.3139268713204765E-2</v>
      </c>
      <c r="J16" s="4">
        <f t="shared" si="14"/>
        <v>1000000</v>
      </c>
      <c r="K16" s="1">
        <f t="shared" si="1"/>
        <v>9615.3846153846152</v>
      </c>
      <c r="L16">
        <f t="shared" si="15"/>
        <v>3.6999999999999999E-4</v>
      </c>
      <c r="M16">
        <v>3.3999999999999998E-3</v>
      </c>
      <c r="N16">
        <v>6.2E-2</v>
      </c>
      <c r="O16" s="1">
        <v>2E-3</v>
      </c>
      <c r="P16" s="1">
        <f t="shared" si="3"/>
        <v>1E-3</v>
      </c>
      <c r="Q16" s="1">
        <f t="shared" si="4"/>
        <v>4.1736500618415147E-3</v>
      </c>
      <c r="R16" s="1">
        <f t="shared" si="5"/>
        <v>1.1245098039215689</v>
      </c>
      <c r="S16">
        <v>1080</v>
      </c>
      <c r="T16" s="1">
        <f t="shared" si="6"/>
        <v>1.3139268713204765E-2</v>
      </c>
      <c r="U16" s="3">
        <v>0.61799999999999999</v>
      </c>
      <c r="V16" s="1">
        <f t="shared" si="7"/>
        <v>1.0804195804195805E-3</v>
      </c>
      <c r="W16" s="1">
        <v>572</v>
      </c>
      <c r="X16" s="1">
        <f t="shared" si="8"/>
        <v>0.57116537779581456</v>
      </c>
      <c r="Y16">
        <v>0.34</v>
      </c>
      <c r="Z16">
        <v>12.9</v>
      </c>
      <c r="AA16">
        <v>2.8676711430439701</v>
      </c>
    </row>
    <row r="17" spans="1:27" ht="16" x14ac:dyDescent="0.2">
      <c r="A17" s="1">
        <f t="shared" si="9"/>
        <v>19230.76923076923</v>
      </c>
      <c r="B17" s="1">
        <f t="shared" si="10"/>
        <v>3.6470588235294121</v>
      </c>
      <c r="C17" s="1">
        <v>0.34</v>
      </c>
      <c r="D17" s="1">
        <f t="shared" si="11"/>
        <v>1.8022208522683471E-2</v>
      </c>
      <c r="E17">
        <v>0.55689999999999995</v>
      </c>
      <c r="F17">
        <f t="shared" si="12"/>
        <v>1.0819983563865951</v>
      </c>
      <c r="G17">
        <v>3</v>
      </c>
      <c r="H17" s="1">
        <f t="shared" si="13"/>
        <v>1.3139268713204765E-2</v>
      </c>
      <c r="J17" s="4">
        <f t="shared" ref="J17:J22" si="16">2*10^6</f>
        <v>2000000</v>
      </c>
      <c r="K17" s="1">
        <f t="shared" si="1"/>
        <v>19230.76923076923</v>
      </c>
      <c r="L17">
        <f t="shared" ref="L17:L22" si="17">0.0012</f>
        <v>1.1999999999999999E-3</v>
      </c>
      <c r="M17">
        <v>3.3999999999999998E-3</v>
      </c>
      <c r="N17">
        <v>6.2E-2</v>
      </c>
      <c r="O17" s="1">
        <v>2E-3</v>
      </c>
      <c r="P17" s="1">
        <f t="shared" si="3"/>
        <v>1E-3</v>
      </c>
      <c r="Q17" s="1">
        <f t="shared" si="4"/>
        <v>4.1736500618415147E-3</v>
      </c>
      <c r="R17" s="1">
        <f t="shared" si="5"/>
        <v>3.6470588235294121</v>
      </c>
      <c r="S17">
        <v>1080</v>
      </c>
      <c r="T17" s="1">
        <f t="shared" si="6"/>
        <v>1.3139268713204765E-2</v>
      </c>
      <c r="U17" s="3">
        <v>1.95E-2</v>
      </c>
      <c r="V17" s="1">
        <f t="shared" si="7"/>
        <v>2.173913043478261E-5</v>
      </c>
      <c r="W17" s="1">
        <v>897</v>
      </c>
      <c r="X17" s="1">
        <f t="shared" si="8"/>
        <v>1.8022208522683471E-2</v>
      </c>
      <c r="Y17">
        <v>0.34</v>
      </c>
      <c r="Z17">
        <v>1.35</v>
      </c>
      <c r="AA17">
        <v>1.5393096151736001</v>
      </c>
    </row>
    <row r="18" spans="1:27" ht="16" x14ac:dyDescent="0.2">
      <c r="A18" s="1">
        <f t="shared" si="9"/>
        <v>19230.76923076923</v>
      </c>
      <c r="B18" s="1">
        <f t="shared" si="10"/>
        <v>3.6470588235294121</v>
      </c>
      <c r="C18" s="1">
        <v>0.34</v>
      </c>
      <c r="D18" s="1">
        <f t="shared" si="11"/>
        <v>4.4732045769122049E-2</v>
      </c>
      <c r="E18">
        <v>0.55689999999999995</v>
      </c>
      <c r="F18">
        <f t="shared" si="12"/>
        <v>1.0819983563865951</v>
      </c>
      <c r="G18">
        <v>3</v>
      </c>
      <c r="H18" s="1">
        <f t="shared" si="13"/>
        <v>1.3139268713204765E-2</v>
      </c>
      <c r="J18" s="4">
        <f t="shared" si="16"/>
        <v>2000000</v>
      </c>
      <c r="K18" s="1">
        <f t="shared" si="1"/>
        <v>19230.76923076923</v>
      </c>
      <c r="L18">
        <f t="shared" si="17"/>
        <v>1.1999999999999999E-3</v>
      </c>
      <c r="M18">
        <v>3.3999999999999998E-3</v>
      </c>
      <c r="N18">
        <v>6.2E-2</v>
      </c>
      <c r="O18" s="1">
        <v>2E-3</v>
      </c>
      <c r="P18" s="1">
        <f t="shared" si="3"/>
        <v>1E-3</v>
      </c>
      <c r="Q18" s="1">
        <f t="shared" si="4"/>
        <v>4.1736500618415147E-3</v>
      </c>
      <c r="R18" s="1">
        <f t="shared" si="5"/>
        <v>3.6470588235294121</v>
      </c>
      <c r="S18">
        <v>1080</v>
      </c>
      <c r="T18" s="1">
        <f t="shared" si="6"/>
        <v>1.3139268713204765E-2</v>
      </c>
      <c r="U18" s="3">
        <v>4.8399999999999999E-2</v>
      </c>
      <c r="V18" s="1">
        <f t="shared" si="7"/>
        <v>5.3957636566332217E-5</v>
      </c>
      <c r="W18" s="1">
        <v>897</v>
      </c>
      <c r="X18" s="1">
        <f t="shared" si="8"/>
        <v>4.4732045769122049E-2</v>
      </c>
      <c r="Y18">
        <v>0.34</v>
      </c>
      <c r="Z18">
        <v>3.14</v>
      </c>
      <c r="AA18">
        <v>1.97602481191603</v>
      </c>
    </row>
    <row r="19" spans="1:27" ht="16" x14ac:dyDescent="0.2">
      <c r="A19" s="1">
        <f t="shared" si="9"/>
        <v>19230.76923076923</v>
      </c>
      <c r="B19" s="1">
        <f t="shared" si="10"/>
        <v>3.6470588235294121</v>
      </c>
      <c r="C19" s="1">
        <v>0.34</v>
      </c>
      <c r="D19" s="1">
        <f t="shared" si="11"/>
        <v>8.7245973566221505E-2</v>
      </c>
      <c r="E19">
        <v>0.55689999999999995</v>
      </c>
      <c r="F19">
        <f t="shared" si="12"/>
        <v>1.0819983563865951</v>
      </c>
      <c r="G19">
        <v>3</v>
      </c>
      <c r="H19" s="1">
        <f t="shared" si="13"/>
        <v>1.3139268713204765E-2</v>
      </c>
      <c r="J19" s="4">
        <f t="shared" si="16"/>
        <v>2000000</v>
      </c>
      <c r="K19" s="1">
        <f t="shared" si="1"/>
        <v>19230.76923076923</v>
      </c>
      <c r="L19">
        <f t="shared" si="17"/>
        <v>1.1999999999999999E-3</v>
      </c>
      <c r="M19">
        <v>3.3999999999999998E-3</v>
      </c>
      <c r="N19">
        <v>6.2E-2</v>
      </c>
      <c r="O19" s="1">
        <v>2E-3</v>
      </c>
      <c r="P19" s="1">
        <f t="shared" si="3"/>
        <v>1E-3</v>
      </c>
      <c r="Q19" s="1">
        <f t="shared" si="4"/>
        <v>4.1736500618415147E-3</v>
      </c>
      <c r="R19" s="1">
        <f t="shared" si="5"/>
        <v>3.6470588235294121</v>
      </c>
      <c r="S19">
        <v>1080</v>
      </c>
      <c r="T19" s="1">
        <f t="shared" si="6"/>
        <v>1.3139268713204765E-2</v>
      </c>
      <c r="U19" s="3">
        <v>9.4399999999999998E-2</v>
      </c>
      <c r="V19" s="1">
        <f t="shared" si="7"/>
        <v>1.052396878483835E-4</v>
      </c>
      <c r="W19" s="1">
        <v>897</v>
      </c>
      <c r="X19" s="1">
        <f t="shared" si="8"/>
        <v>8.7245973566221505E-2</v>
      </c>
      <c r="Y19">
        <v>0.34</v>
      </c>
      <c r="Z19">
        <v>4.6100000000000003</v>
      </c>
      <c r="AA19">
        <v>2.2991560453417001</v>
      </c>
    </row>
    <row r="20" spans="1:27" ht="16" x14ac:dyDescent="0.2">
      <c r="A20" s="1">
        <f t="shared" si="9"/>
        <v>19230.76923076923</v>
      </c>
      <c r="B20" s="1">
        <f t="shared" si="10"/>
        <v>3.6470588235294121</v>
      </c>
      <c r="C20" s="1">
        <v>0.34</v>
      </c>
      <c r="D20" s="1">
        <f t="shared" si="11"/>
        <v>9.0018621031249732E-2</v>
      </c>
      <c r="E20">
        <v>0.55689999999999995</v>
      </c>
      <c r="F20">
        <f t="shared" si="12"/>
        <v>1.0819983563865951</v>
      </c>
      <c r="G20">
        <v>3</v>
      </c>
      <c r="H20" s="1">
        <f t="shared" si="13"/>
        <v>1.3139268713204765E-2</v>
      </c>
      <c r="J20" s="4">
        <f t="shared" si="16"/>
        <v>2000000</v>
      </c>
      <c r="K20" s="1">
        <f t="shared" si="1"/>
        <v>19230.76923076923</v>
      </c>
      <c r="L20">
        <f t="shared" si="17"/>
        <v>1.1999999999999999E-3</v>
      </c>
      <c r="M20">
        <v>3.3999999999999998E-3</v>
      </c>
      <c r="N20">
        <v>6.2E-2</v>
      </c>
      <c r="O20" s="1">
        <v>2E-3</v>
      </c>
      <c r="P20" s="1">
        <f t="shared" si="3"/>
        <v>1E-3</v>
      </c>
      <c r="Q20" s="1">
        <f t="shared" si="4"/>
        <v>4.1736500618415147E-3</v>
      </c>
      <c r="R20" s="1">
        <f t="shared" si="5"/>
        <v>3.6470588235294121</v>
      </c>
      <c r="S20">
        <v>1080</v>
      </c>
      <c r="T20" s="1">
        <f t="shared" si="6"/>
        <v>1.3139268713204765E-2</v>
      </c>
      <c r="U20" s="3">
        <v>9.74E-2</v>
      </c>
      <c r="V20" s="1">
        <f t="shared" si="7"/>
        <v>1.0858416945373467E-4</v>
      </c>
      <c r="W20" s="1">
        <v>897</v>
      </c>
      <c r="X20" s="1">
        <f t="shared" si="8"/>
        <v>9.0018621031249732E-2</v>
      </c>
      <c r="Y20">
        <v>0.34</v>
      </c>
      <c r="Z20">
        <v>3.91</v>
      </c>
      <c r="AA20">
        <v>2.3159077946323401</v>
      </c>
    </row>
    <row r="21" spans="1:27" ht="16" x14ac:dyDescent="0.2">
      <c r="A21" s="1">
        <f t="shared" si="9"/>
        <v>19230.76923076923</v>
      </c>
      <c r="B21" s="1">
        <f t="shared" si="10"/>
        <v>3.6470588235294121</v>
      </c>
      <c r="C21" s="1">
        <v>0.34</v>
      </c>
      <c r="D21" s="1">
        <f t="shared" si="11"/>
        <v>0.17929786940515863</v>
      </c>
      <c r="E21">
        <v>0.55689999999999995</v>
      </c>
      <c r="F21">
        <f t="shared" si="12"/>
        <v>1.0819983563865951</v>
      </c>
      <c r="G21">
        <v>3</v>
      </c>
      <c r="H21" s="1">
        <f t="shared" si="13"/>
        <v>1.3139268713204765E-2</v>
      </c>
      <c r="J21" s="4">
        <f t="shared" si="16"/>
        <v>2000000</v>
      </c>
      <c r="K21" s="1">
        <f t="shared" si="1"/>
        <v>19230.76923076923</v>
      </c>
      <c r="L21">
        <f t="shared" si="17"/>
        <v>1.1999999999999999E-3</v>
      </c>
      <c r="M21">
        <v>3.3999999999999998E-3</v>
      </c>
      <c r="N21">
        <v>6.2E-2</v>
      </c>
      <c r="O21" s="1">
        <v>2E-3</v>
      </c>
      <c r="P21" s="1">
        <f t="shared" si="3"/>
        <v>1E-3</v>
      </c>
      <c r="Q21" s="1">
        <f t="shared" si="4"/>
        <v>4.1736500618415147E-3</v>
      </c>
      <c r="R21" s="1">
        <f t="shared" si="5"/>
        <v>3.6470588235294121</v>
      </c>
      <c r="S21">
        <v>1080</v>
      </c>
      <c r="T21" s="1">
        <f t="shared" si="6"/>
        <v>1.3139268713204765E-2</v>
      </c>
      <c r="U21" s="3">
        <v>0.19400000000000001</v>
      </c>
      <c r="V21" s="1">
        <f t="shared" si="7"/>
        <v>2.1627647714604238E-4</v>
      </c>
      <c r="W21" s="1">
        <v>897</v>
      </c>
      <c r="X21" s="1">
        <f t="shared" si="8"/>
        <v>0.17929786940515863</v>
      </c>
      <c r="Y21">
        <v>0.34</v>
      </c>
      <c r="Z21">
        <v>7.13</v>
      </c>
      <c r="AA21">
        <v>2.7325065205803099</v>
      </c>
    </row>
    <row r="22" spans="1:27" ht="16" x14ac:dyDescent="0.2">
      <c r="A22" s="1">
        <f t="shared" si="9"/>
        <v>19230.76923076923</v>
      </c>
      <c r="B22" s="1">
        <f t="shared" si="10"/>
        <v>3.6470588235294121</v>
      </c>
      <c r="C22" s="1">
        <v>0.34</v>
      </c>
      <c r="D22" s="1">
        <f t="shared" si="11"/>
        <v>0.4482446735128966</v>
      </c>
      <c r="E22">
        <v>0.55689999999999995</v>
      </c>
      <c r="F22">
        <f t="shared" si="12"/>
        <v>1.0819983563865951</v>
      </c>
      <c r="G22">
        <v>3</v>
      </c>
      <c r="H22" s="1">
        <f t="shared" si="13"/>
        <v>1.3139268713204765E-2</v>
      </c>
      <c r="J22" s="4">
        <f t="shared" si="16"/>
        <v>2000000</v>
      </c>
      <c r="K22" s="1">
        <f t="shared" si="1"/>
        <v>19230.76923076923</v>
      </c>
      <c r="L22">
        <f t="shared" si="17"/>
        <v>1.1999999999999999E-3</v>
      </c>
      <c r="M22">
        <v>3.3999999999999998E-3</v>
      </c>
      <c r="N22">
        <v>6.2E-2</v>
      </c>
      <c r="O22" s="1">
        <v>2E-3</v>
      </c>
      <c r="P22" s="1">
        <f t="shared" si="3"/>
        <v>1E-3</v>
      </c>
      <c r="Q22" s="1">
        <f t="shared" si="4"/>
        <v>4.1736500618415147E-3</v>
      </c>
      <c r="R22" s="1">
        <f t="shared" si="5"/>
        <v>3.6470588235294121</v>
      </c>
      <c r="S22">
        <v>1080</v>
      </c>
      <c r="T22" s="1">
        <f t="shared" si="6"/>
        <v>1.3139268713204765E-2</v>
      </c>
      <c r="U22" s="3">
        <v>0.48499999999999999</v>
      </c>
      <c r="V22" s="1">
        <f t="shared" si="7"/>
        <v>5.4069119286510588E-4</v>
      </c>
      <c r="W22" s="1">
        <v>897</v>
      </c>
      <c r="X22" s="1">
        <f t="shared" si="8"/>
        <v>0.4482446735128966</v>
      </c>
      <c r="Y22">
        <v>0.34</v>
      </c>
      <c r="Z22">
        <v>10.7</v>
      </c>
      <c r="AA22">
        <v>3.4920594845095101</v>
      </c>
    </row>
    <row r="23" spans="1:27" ht="16" x14ac:dyDescent="0.2">
      <c r="A23" s="1">
        <f t="shared" si="9"/>
        <v>48076.923076923078</v>
      </c>
      <c r="B23" s="1">
        <f t="shared" si="10"/>
        <v>16.107843137254903</v>
      </c>
      <c r="C23" s="1">
        <v>0.34</v>
      </c>
      <c r="D23" s="1">
        <f t="shared" si="11"/>
        <v>3.2624818505165458E-2</v>
      </c>
      <c r="E23">
        <v>0.55689999999999995</v>
      </c>
      <c r="F23">
        <f t="shared" si="12"/>
        <v>1.0819983563865951</v>
      </c>
      <c r="G23">
        <v>3</v>
      </c>
      <c r="H23" s="1">
        <f t="shared" si="13"/>
        <v>1.3139268713204765E-2</v>
      </c>
      <c r="J23" s="4">
        <f>5*10^6</f>
        <v>5000000</v>
      </c>
      <c r="K23" s="1">
        <f t="shared" si="1"/>
        <v>48076.923076923078</v>
      </c>
      <c r="L23">
        <v>5.3E-3</v>
      </c>
      <c r="M23">
        <v>3.3999999999999998E-3</v>
      </c>
      <c r="N23">
        <v>6.2E-2</v>
      </c>
      <c r="O23" s="1">
        <v>2E-3</v>
      </c>
      <c r="P23" s="1">
        <f t="shared" si="3"/>
        <v>1E-3</v>
      </c>
      <c r="Q23" s="1">
        <f t="shared" si="4"/>
        <v>4.1736500618415147E-3</v>
      </c>
      <c r="R23" s="1">
        <f t="shared" si="5"/>
        <v>16.107843137254903</v>
      </c>
      <c r="S23">
        <v>1080</v>
      </c>
      <c r="T23" s="1">
        <f t="shared" si="6"/>
        <v>1.3139268713204765E-2</v>
      </c>
      <c r="U23" s="3">
        <v>3.5299999999999998E-2</v>
      </c>
      <c r="V23" s="1">
        <f t="shared" si="7"/>
        <v>2.165644171779141E-5</v>
      </c>
      <c r="W23" s="1">
        <v>1630</v>
      </c>
      <c r="X23" s="1">
        <f t="shared" si="8"/>
        <v>3.2624818505165458E-2</v>
      </c>
      <c r="Y23">
        <v>0.34</v>
      </c>
      <c r="Z23">
        <v>1.6</v>
      </c>
      <c r="AA23">
        <v>2.3848239723268798</v>
      </c>
    </row>
    <row r="24" spans="1:27" ht="16" x14ac:dyDescent="0.2">
      <c r="A24" s="1">
        <f t="shared" si="9"/>
        <v>48076.923076923078</v>
      </c>
      <c r="B24" s="1">
        <f t="shared" si="10"/>
        <v>16.107843137254903</v>
      </c>
      <c r="C24" s="1">
        <v>0.34</v>
      </c>
      <c r="D24" s="1">
        <f t="shared" si="11"/>
        <v>8.1793100218332679E-2</v>
      </c>
      <c r="E24">
        <v>0.55689999999999995</v>
      </c>
      <c r="F24">
        <f t="shared" si="12"/>
        <v>1.0819983563865951</v>
      </c>
      <c r="G24">
        <v>3</v>
      </c>
      <c r="H24" s="1">
        <f t="shared" si="13"/>
        <v>1.3139268713204765E-2</v>
      </c>
      <c r="J24" s="4">
        <f>5*10^6</f>
        <v>5000000</v>
      </c>
      <c r="K24" s="1">
        <f t="shared" si="1"/>
        <v>48076.923076923078</v>
      </c>
      <c r="L24">
        <v>5.3E-3</v>
      </c>
      <c r="M24">
        <v>3.3999999999999998E-3</v>
      </c>
      <c r="N24">
        <v>6.2E-2</v>
      </c>
      <c r="O24" s="1">
        <v>2E-3</v>
      </c>
      <c r="P24" s="1">
        <f t="shared" si="3"/>
        <v>1E-3</v>
      </c>
      <c r="Q24" s="1">
        <f t="shared" si="4"/>
        <v>4.1736500618415147E-3</v>
      </c>
      <c r="R24" s="1">
        <f t="shared" si="5"/>
        <v>16.107843137254903</v>
      </c>
      <c r="S24">
        <v>1080</v>
      </c>
      <c r="T24" s="1">
        <f t="shared" si="6"/>
        <v>1.3139268713204765E-2</v>
      </c>
      <c r="U24" s="3">
        <v>8.8499999999999995E-2</v>
      </c>
      <c r="V24" s="1">
        <f t="shared" si="7"/>
        <v>5.4294478527607356E-5</v>
      </c>
      <c r="W24" s="1">
        <v>1630</v>
      </c>
      <c r="X24" s="1">
        <f t="shared" si="8"/>
        <v>8.1793100218332679E-2</v>
      </c>
      <c r="Y24">
        <v>0.34</v>
      </c>
      <c r="Z24">
        <v>2.95</v>
      </c>
      <c r="AA24">
        <v>3.22730444140669</v>
      </c>
    </row>
    <row r="25" spans="1:27" ht="16" x14ac:dyDescent="0.2">
      <c r="A25" s="1">
        <f t="shared" si="9"/>
        <v>48076.923076923078</v>
      </c>
      <c r="B25" s="1">
        <f t="shared" si="10"/>
        <v>16.107843137254903</v>
      </c>
      <c r="C25" s="1">
        <v>0.34</v>
      </c>
      <c r="D25" s="1">
        <f t="shared" si="11"/>
        <v>0.16358620043666536</v>
      </c>
      <c r="E25">
        <v>0.55689999999999995</v>
      </c>
      <c r="F25">
        <f t="shared" si="12"/>
        <v>1.0819983563865951</v>
      </c>
      <c r="G25">
        <v>3</v>
      </c>
      <c r="H25" s="1">
        <f t="shared" si="13"/>
        <v>1.3139268713204765E-2</v>
      </c>
      <c r="J25" s="4">
        <f>5*10^6</f>
        <v>5000000</v>
      </c>
      <c r="K25" s="1">
        <f t="shared" si="1"/>
        <v>48076.923076923078</v>
      </c>
      <c r="L25">
        <v>5.3E-3</v>
      </c>
      <c r="M25">
        <v>3.3999999999999998E-3</v>
      </c>
      <c r="N25">
        <v>6.2E-2</v>
      </c>
      <c r="O25" s="1">
        <v>2E-3</v>
      </c>
      <c r="P25" s="1">
        <f t="shared" si="3"/>
        <v>1E-3</v>
      </c>
      <c r="Q25" s="1">
        <f t="shared" si="4"/>
        <v>4.1736500618415147E-3</v>
      </c>
      <c r="R25" s="1">
        <f t="shared" si="5"/>
        <v>16.107843137254903</v>
      </c>
      <c r="S25">
        <v>1080</v>
      </c>
      <c r="T25" s="1">
        <f t="shared" si="6"/>
        <v>1.3139268713204765E-2</v>
      </c>
      <c r="U25" s="3">
        <v>0.17699999999999999</v>
      </c>
      <c r="V25" s="1">
        <f t="shared" si="7"/>
        <v>1.0858895705521471E-4</v>
      </c>
      <c r="W25" s="1">
        <v>1630</v>
      </c>
      <c r="X25" s="1">
        <f t="shared" si="8"/>
        <v>0.16358620043666536</v>
      </c>
      <c r="Y25">
        <v>0.34</v>
      </c>
      <c r="Z25">
        <v>6.11</v>
      </c>
      <c r="AA25">
        <v>3.87083181330607</v>
      </c>
    </row>
    <row r="26" spans="1:27" ht="16" x14ac:dyDescent="0.2">
      <c r="A26" s="1">
        <f t="shared" si="9"/>
        <v>48076.923076923078</v>
      </c>
      <c r="B26" s="1">
        <f t="shared" si="10"/>
        <v>16.107843137254903</v>
      </c>
      <c r="C26" s="1">
        <v>0.34</v>
      </c>
      <c r="D26" s="1">
        <f t="shared" si="11"/>
        <v>0.32439975340830246</v>
      </c>
      <c r="E26">
        <v>0.55689999999999995</v>
      </c>
      <c r="F26">
        <f t="shared" si="12"/>
        <v>1.0819983563865951</v>
      </c>
      <c r="G26">
        <v>3</v>
      </c>
      <c r="H26" s="1">
        <f t="shared" si="13"/>
        <v>1.3139268713204765E-2</v>
      </c>
      <c r="J26" s="4">
        <f>5*10^6</f>
        <v>5000000</v>
      </c>
      <c r="K26" s="1">
        <f t="shared" si="1"/>
        <v>48076.923076923078</v>
      </c>
      <c r="L26">
        <v>5.3E-3</v>
      </c>
      <c r="M26">
        <v>3.3999999999999998E-3</v>
      </c>
      <c r="N26">
        <v>6.2E-2</v>
      </c>
      <c r="O26" s="1">
        <v>2E-3</v>
      </c>
      <c r="P26" s="1">
        <f t="shared" si="3"/>
        <v>1E-3</v>
      </c>
      <c r="Q26" s="1">
        <f t="shared" si="4"/>
        <v>4.1736500618415147E-3</v>
      </c>
      <c r="R26" s="1">
        <f t="shared" si="5"/>
        <v>16.107843137254903</v>
      </c>
      <c r="S26">
        <v>1080</v>
      </c>
      <c r="T26" s="1">
        <f t="shared" si="6"/>
        <v>1.3139268713204765E-2</v>
      </c>
      <c r="U26" s="3">
        <v>0.35099999999999998</v>
      </c>
      <c r="V26" s="1">
        <f t="shared" si="7"/>
        <v>2.1533742331288343E-4</v>
      </c>
      <c r="W26" s="1">
        <v>1630</v>
      </c>
      <c r="X26" s="1">
        <f t="shared" si="8"/>
        <v>0.32439975340830246</v>
      </c>
      <c r="Y26">
        <v>0.34</v>
      </c>
      <c r="Z26">
        <v>8.84</v>
      </c>
      <c r="AA26">
        <v>4.6308979811322404</v>
      </c>
    </row>
    <row r="30" spans="1:27" x14ac:dyDescent="0.15">
      <c r="A30" t="s">
        <v>63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H30" t="s">
        <v>82</v>
      </c>
      <c r="I30">
        <f>44/3</f>
        <v>14.666666666666666</v>
      </c>
      <c r="J30">
        <v>52</v>
      </c>
      <c r="N30">
        <v>2884.6153850000001</v>
      </c>
      <c r="O30">
        <v>0.262477293</v>
      </c>
      <c r="P30">
        <v>1.5286138085157801</v>
      </c>
    </row>
    <row r="31" spans="1:27" x14ac:dyDescent="0.15">
      <c r="A31">
        <v>0.63</v>
      </c>
      <c r="B31">
        <v>572</v>
      </c>
      <c r="C31">
        <v>8.2000000000000007E-3</v>
      </c>
      <c r="D31">
        <v>4.7000000000000002E-3</v>
      </c>
      <c r="E31">
        <f>(C31-D31)/D31/A31</f>
        <v>1.1820330969267141</v>
      </c>
      <c r="F31">
        <v>0.3372</v>
      </c>
      <c r="H31" t="s">
        <v>83</v>
      </c>
      <c r="I31">
        <v>4.7</v>
      </c>
      <c r="J31">
        <v>9.6</v>
      </c>
      <c r="N31">
        <v>2884.6153850000001</v>
      </c>
      <c r="O31">
        <v>0.28650690499999998</v>
      </c>
      <c r="P31">
        <v>1.56466145756445</v>
      </c>
    </row>
    <row r="32" spans="1:27" x14ac:dyDescent="0.15">
      <c r="A32">
        <v>0.31</v>
      </c>
      <c r="B32">
        <v>572</v>
      </c>
      <c r="C32">
        <v>6.3E-3</v>
      </c>
      <c r="D32">
        <v>4.7000000000000002E-3</v>
      </c>
      <c r="E32">
        <f>(C32-D32)/D32/A32</f>
        <v>1.098146877144818</v>
      </c>
      <c r="H32" t="s">
        <v>84</v>
      </c>
      <c r="I32">
        <f>109/180*PI()</f>
        <v>1.902408884673819</v>
      </c>
      <c r="J32">
        <f>109/180*PI()</f>
        <v>1.902408884673819</v>
      </c>
      <c r="N32">
        <v>2884.6153850000001</v>
      </c>
      <c r="O32">
        <v>0.52125772299999995</v>
      </c>
      <c r="P32">
        <v>1.8449630672525801</v>
      </c>
    </row>
    <row r="33" spans="1:16" x14ac:dyDescent="0.15">
      <c r="A33">
        <v>0.13</v>
      </c>
      <c r="B33">
        <v>572</v>
      </c>
      <c r="C33">
        <v>5.4999999999999997E-3</v>
      </c>
      <c r="D33">
        <v>4.7000000000000002E-3</v>
      </c>
      <c r="E33">
        <f>(C33-D33)/D33/A33</f>
        <v>1.309328968903436</v>
      </c>
      <c r="H33" t="s">
        <v>85</v>
      </c>
      <c r="I33" s="1">
        <v>1.4640000000000001E-10</v>
      </c>
      <c r="J33" s="1">
        <v>1.5299999999999999E-10</v>
      </c>
      <c r="N33">
        <v>2884.6153850000001</v>
      </c>
      <c r="O33">
        <v>0.699631377</v>
      </c>
      <c r="P33">
        <v>2.0052727041537599</v>
      </c>
    </row>
    <row r="34" spans="1:16" x14ac:dyDescent="0.15">
      <c r="A34">
        <v>0.06</v>
      </c>
      <c r="B34">
        <v>572</v>
      </c>
      <c r="C34">
        <v>5.0000000000000001E-3</v>
      </c>
      <c r="D34">
        <v>4.7000000000000002E-3</v>
      </c>
      <c r="E34">
        <f>(C34-D34)/D34/A34</f>
        <v>1.0638297872340423</v>
      </c>
      <c r="H34" t="s">
        <v>86</v>
      </c>
      <c r="I34" s="1">
        <f>I31*I33/SIN(I32/2)</f>
        <v>8.4518718103939112E-10</v>
      </c>
      <c r="J34" s="1">
        <f>J31*J33/SIN(J32/2)</f>
        <v>1.8041665671297778E-9</v>
      </c>
      <c r="N34">
        <v>2884.6153850000001</v>
      </c>
      <c r="O34">
        <v>0.86136914600000003</v>
      </c>
      <c r="P34">
        <v>2.12730411100349</v>
      </c>
    </row>
    <row r="35" spans="1:16" x14ac:dyDescent="0.15">
      <c r="H35" t="s">
        <v>87</v>
      </c>
      <c r="I35" s="1">
        <f>I30*(I36+I31)</f>
        <v>104.0057172489373</v>
      </c>
      <c r="J35" s="1">
        <f>J30*(J36+J31)</f>
        <v>753.18647075439321</v>
      </c>
      <c r="N35">
        <v>2884.6153850000001</v>
      </c>
      <c r="O35">
        <v>0.86229336199999995</v>
      </c>
      <c r="P35">
        <v>2.12795148866432</v>
      </c>
    </row>
    <row r="36" spans="1:16" x14ac:dyDescent="0.15">
      <c r="H36" t="s">
        <v>88</v>
      </c>
      <c r="I36">
        <f>(I34/I33)^2/I31-I31</f>
        <v>2.3912989033366339</v>
      </c>
      <c r="J36">
        <f>(J34/J33)^2/J31-J31</f>
        <v>4.884355206815254</v>
      </c>
      <c r="N36">
        <v>5769.2307689999998</v>
      </c>
      <c r="O36">
        <v>0.71996412499999995</v>
      </c>
      <c r="P36">
        <v>2.5475418762067599</v>
      </c>
    </row>
    <row r="37" spans="1:16" x14ac:dyDescent="0.15">
      <c r="N37">
        <v>9615.3846150000008</v>
      </c>
      <c r="O37">
        <v>1.1460276E-2</v>
      </c>
      <c r="P37">
        <v>1.1267173291733601</v>
      </c>
    </row>
    <row r="38" spans="1:16" x14ac:dyDescent="0.15">
      <c r="N38">
        <v>9615.3846150000008</v>
      </c>
      <c r="O38">
        <v>2.8558269000000001E-2</v>
      </c>
      <c r="P38">
        <v>1.3982007016576601</v>
      </c>
    </row>
    <row r="39" spans="1:16" x14ac:dyDescent="0.15">
      <c r="N39">
        <v>9615.3846150000008</v>
      </c>
      <c r="O39">
        <v>2.8650689999999999E-2</v>
      </c>
      <c r="P39">
        <v>1.3991266483565801</v>
      </c>
    </row>
    <row r="40" spans="1:16" x14ac:dyDescent="0.15">
      <c r="N40">
        <v>9615.3846150000008</v>
      </c>
      <c r="O40">
        <v>5.6746851000000001E-2</v>
      </c>
      <c r="P40">
        <v>1.60626023865413</v>
      </c>
    </row>
    <row r="41" spans="1:16" x14ac:dyDescent="0.15">
      <c r="N41">
        <v>9615.3846150000008</v>
      </c>
      <c r="O41">
        <v>0.114602762</v>
      </c>
      <c r="P41">
        <v>1.8772847846462399</v>
      </c>
    </row>
    <row r="42" spans="1:16" x14ac:dyDescent="0.15">
      <c r="N42">
        <v>9615.3846150000008</v>
      </c>
      <c r="O42">
        <v>0.28835533600000002</v>
      </c>
      <c r="P42">
        <v>2.3716494167117999</v>
      </c>
    </row>
    <row r="43" spans="1:16" x14ac:dyDescent="0.15">
      <c r="N43">
        <v>9615.3846150000008</v>
      </c>
      <c r="O43">
        <v>0.56931694600000005</v>
      </c>
      <c r="P43">
        <v>2.8650434190167502</v>
      </c>
    </row>
    <row r="44" spans="1:16" x14ac:dyDescent="0.15">
      <c r="N44">
        <v>9615.3846150000008</v>
      </c>
      <c r="O44">
        <v>0.571165378</v>
      </c>
      <c r="P44">
        <v>2.8676711430439701</v>
      </c>
    </row>
    <row r="45" spans="1:16" x14ac:dyDescent="0.15">
      <c r="N45">
        <v>19230.769230000002</v>
      </c>
      <c r="O45">
        <v>1.8022209000000001E-2</v>
      </c>
      <c r="P45">
        <v>1.5393096151736001</v>
      </c>
    </row>
    <row r="46" spans="1:16" x14ac:dyDescent="0.15">
      <c r="N46">
        <v>19230.769230000002</v>
      </c>
      <c r="O46">
        <v>4.4732045999999998E-2</v>
      </c>
      <c r="P46">
        <v>1.97602481191603</v>
      </c>
    </row>
    <row r="47" spans="1:16" x14ac:dyDescent="0.15">
      <c r="N47">
        <v>19230.769230000002</v>
      </c>
      <c r="O47">
        <v>8.72E-2</v>
      </c>
      <c r="P47">
        <v>2.2991560453417001</v>
      </c>
    </row>
    <row r="48" spans="1:16" x14ac:dyDescent="0.15">
      <c r="N48">
        <v>19230.769230000002</v>
      </c>
      <c r="O48">
        <v>9.0018620999999993E-2</v>
      </c>
      <c r="P48">
        <v>2.3159077946323401</v>
      </c>
    </row>
    <row r="49" spans="14:16" x14ac:dyDescent="0.15">
      <c r="N49">
        <v>19230.769230000002</v>
      </c>
      <c r="O49">
        <v>0.179297869</v>
      </c>
      <c r="P49">
        <v>2.7325065205803099</v>
      </c>
    </row>
    <row r="50" spans="14:16" x14ac:dyDescent="0.15">
      <c r="N50">
        <v>19230.769230000002</v>
      </c>
      <c r="O50">
        <v>0.44824467400000001</v>
      </c>
      <c r="P50">
        <v>3.4920594845095101</v>
      </c>
    </row>
    <row r="51" spans="14:16" x14ac:dyDescent="0.15">
      <c r="N51">
        <v>48076.92308</v>
      </c>
      <c r="O51">
        <v>3.2624818999999999E-2</v>
      </c>
      <c r="P51">
        <v>2.3848239723268798</v>
      </c>
    </row>
    <row r="52" spans="14:16" x14ac:dyDescent="0.15">
      <c r="N52">
        <v>48076.92308</v>
      </c>
      <c r="O52">
        <v>8.1793099999999994E-2</v>
      </c>
      <c r="P52">
        <v>3.22730444140669</v>
      </c>
    </row>
    <row r="53" spans="14:16" x14ac:dyDescent="0.15">
      <c r="N53">
        <v>48076.92308</v>
      </c>
      <c r="O53">
        <v>0.16358619999999999</v>
      </c>
      <c r="P53">
        <v>3.87083181330607</v>
      </c>
    </row>
    <row r="54" spans="14:16" x14ac:dyDescent="0.15">
      <c r="N54">
        <v>48076.92308</v>
      </c>
      <c r="O54">
        <v>0.32439975300000001</v>
      </c>
      <c r="P54">
        <v>4.6308979811322404</v>
      </c>
    </row>
  </sheetData>
  <sortState xmlns:xlrd2="http://schemas.microsoft.com/office/spreadsheetml/2017/richdata2" ref="J2:Z26">
    <sortCondition ref="J2:J26"/>
    <sortCondition ref="X2:X26"/>
  </sortState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3"/>
  <sheetViews>
    <sheetView topLeftCell="F23" workbookViewId="0">
      <selection activeCell="N50" sqref="N50:Q53"/>
    </sheetView>
  </sheetViews>
  <sheetFormatPr baseColWidth="10" defaultRowHeight="13" x14ac:dyDescent="0.15"/>
  <sheetData>
    <row r="1" spans="1:35" x14ac:dyDescent="0.15">
      <c r="A1" t="s">
        <v>90</v>
      </c>
      <c r="G1" t="s">
        <v>95</v>
      </c>
      <c r="H1" t="s">
        <v>97</v>
      </c>
      <c r="M1" t="s">
        <v>96</v>
      </c>
      <c r="N1" t="s">
        <v>97</v>
      </c>
      <c r="S1" t="s">
        <v>95</v>
      </c>
      <c r="T1" t="s">
        <v>97</v>
      </c>
      <c r="Y1" t="s">
        <v>96</v>
      </c>
      <c r="Z1" t="s">
        <v>99</v>
      </c>
      <c r="AE1" t="s">
        <v>96</v>
      </c>
      <c r="AF1" t="s">
        <v>98</v>
      </c>
    </row>
    <row r="2" spans="1:35" x14ac:dyDescent="0.15">
      <c r="A2" t="s">
        <v>37</v>
      </c>
      <c r="B2" t="s">
        <v>91</v>
      </c>
      <c r="C2" t="s">
        <v>93</v>
      </c>
      <c r="D2" t="s">
        <v>92</v>
      </c>
      <c r="E2" t="s">
        <v>94</v>
      </c>
      <c r="G2" t="s">
        <v>37</v>
      </c>
      <c r="H2" t="s">
        <v>91</v>
      </c>
      <c r="I2" t="s">
        <v>93</v>
      </c>
      <c r="J2" t="s">
        <v>92</v>
      </c>
      <c r="K2" t="s">
        <v>94</v>
      </c>
      <c r="M2" t="s">
        <v>37</v>
      </c>
      <c r="N2" t="s">
        <v>91</v>
      </c>
      <c r="O2" t="s">
        <v>93</v>
      </c>
      <c r="P2" t="s">
        <v>92</v>
      </c>
      <c r="Q2" t="s">
        <v>94</v>
      </c>
      <c r="S2" t="s">
        <v>37</v>
      </c>
      <c r="T2" t="s">
        <v>91</v>
      </c>
      <c r="U2" t="s">
        <v>93</v>
      </c>
      <c r="V2" t="s">
        <v>92</v>
      </c>
      <c r="W2" t="s">
        <v>94</v>
      </c>
      <c r="Y2" t="s">
        <v>37</v>
      </c>
      <c r="Z2" t="s">
        <v>91</v>
      </c>
      <c r="AA2" t="s">
        <v>93</v>
      </c>
      <c r="AB2" t="s">
        <v>92</v>
      </c>
      <c r="AC2" t="s">
        <v>94</v>
      </c>
      <c r="AE2" t="s">
        <v>37</v>
      </c>
      <c r="AF2" t="s">
        <v>91</v>
      </c>
      <c r="AG2" t="s">
        <v>93</v>
      </c>
      <c r="AH2" t="s">
        <v>92</v>
      </c>
      <c r="AI2" t="s">
        <v>94</v>
      </c>
    </row>
    <row r="3" spans="1:35" x14ac:dyDescent="0.15">
      <c r="A3">
        <v>1E-3</v>
      </c>
      <c r="G3">
        <v>1E-3</v>
      </c>
      <c r="H3">
        <v>0.57596175000000005</v>
      </c>
      <c r="I3">
        <v>1.1574842715973199</v>
      </c>
      <c r="J3">
        <v>1.1574842715973199</v>
      </c>
      <c r="K3">
        <v>271474.76</v>
      </c>
      <c r="M3">
        <v>1E-3</v>
      </c>
      <c r="N3">
        <v>0.21363442999999999</v>
      </c>
      <c r="O3">
        <v>3.1205956205966698</v>
      </c>
      <c r="P3">
        <v>3.1205956205966698</v>
      </c>
      <c r="Q3">
        <v>742491.44</v>
      </c>
      <c r="S3">
        <v>1E-3</v>
      </c>
      <c r="Y3">
        <v>1E-3</v>
      </c>
      <c r="AE3">
        <v>1E-3</v>
      </c>
    </row>
    <row r="4" spans="1:35" x14ac:dyDescent="0.15">
      <c r="A4">
        <v>1.2589249999999999E-3</v>
      </c>
      <c r="B4">
        <v>4.3769339</v>
      </c>
      <c r="C4">
        <v>0.15231362453672601</v>
      </c>
      <c r="D4">
        <v>0.15231362453672601</v>
      </c>
      <c r="E4">
        <v>25556.792000000001</v>
      </c>
      <c r="G4">
        <v>1.2589249999999999E-3</v>
      </c>
      <c r="H4">
        <v>0.47889756</v>
      </c>
      <c r="I4">
        <v>1.3920861627832599</v>
      </c>
      <c r="J4">
        <v>1.3920861627832599</v>
      </c>
      <c r="K4">
        <v>260352.02</v>
      </c>
      <c r="M4">
        <v>1.2589249999999999E-3</v>
      </c>
      <c r="N4">
        <v>0.17190064999999999</v>
      </c>
      <c r="O4">
        <v>3.8782091089630399</v>
      </c>
      <c r="P4">
        <v>3.8782091089630399</v>
      </c>
      <c r="Q4">
        <v>734172.82</v>
      </c>
      <c r="S4">
        <v>1.2589249999999999E-3</v>
      </c>
      <c r="T4">
        <v>3.8942871000000001</v>
      </c>
      <c r="U4">
        <v>0.171190939329221</v>
      </c>
      <c r="V4">
        <v>0.171190939329221</v>
      </c>
      <c r="W4">
        <v>31688.632000000001</v>
      </c>
      <c r="Y4">
        <v>1.2589249999999999E-3</v>
      </c>
      <c r="Z4">
        <v>1.4438877999999999</v>
      </c>
      <c r="AA4">
        <v>0.46171639282959998</v>
      </c>
      <c r="AB4">
        <v>0.46171639282959998</v>
      </c>
      <c r="AC4">
        <v>89686.349000000002</v>
      </c>
      <c r="AE4">
        <v>1.2589249999999999E-3</v>
      </c>
    </row>
    <row r="5" spans="1:35" x14ac:dyDescent="0.15">
      <c r="A5">
        <v>1.584893E-3</v>
      </c>
      <c r="B5">
        <v>3.6890109</v>
      </c>
      <c r="C5">
        <v>0.18071691429989201</v>
      </c>
      <c r="D5">
        <v>0.18071691429989201</v>
      </c>
      <c r="E5">
        <v>24820.855</v>
      </c>
      <c r="G5">
        <v>1.584893E-3</v>
      </c>
      <c r="H5">
        <v>0.40157346999999999</v>
      </c>
      <c r="I5">
        <v>1.6601362302810201</v>
      </c>
      <c r="J5">
        <v>1.6601362302810201</v>
      </c>
      <c r="K5">
        <v>247384.48</v>
      </c>
      <c r="M5">
        <v>1.584893E-3</v>
      </c>
      <c r="N5">
        <v>0.13956950000000001</v>
      </c>
      <c r="O5">
        <v>4.7765927847177698</v>
      </c>
      <c r="P5">
        <v>4.7765927847177698</v>
      </c>
      <c r="Q5">
        <v>719178.59</v>
      </c>
      <c r="S5">
        <v>1.584893E-3</v>
      </c>
      <c r="T5">
        <v>3.2653558999999999</v>
      </c>
      <c r="U5">
        <v>0.20416355432088301</v>
      </c>
      <c r="V5">
        <v>0.20416355432088301</v>
      </c>
      <c r="W5">
        <v>30839.010999999999</v>
      </c>
      <c r="Y5">
        <v>1.584893E-3</v>
      </c>
      <c r="Z5">
        <v>1.1570016000000001</v>
      </c>
      <c r="AA5">
        <v>0.57620202657167197</v>
      </c>
      <c r="AB5">
        <v>0.57620202657167197</v>
      </c>
      <c r="AC5">
        <v>89960.150999999998</v>
      </c>
      <c r="AE5">
        <v>1.584893E-3</v>
      </c>
      <c r="AF5">
        <v>5.2368379999999997</v>
      </c>
      <c r="AG5">
        <v>0.12730328237510199</v>
      </c>
      <c r="AH5">
        <v>0.12730328237510199</v>
      </c>
      <c r="AI5">
        <v>24927.662</v>
      </c>
    </row>
    <row r="6" spans="1:35" x14ac:dyDescent="0.15">
      <c r="A6">
        <v>1.9952619999999998E-3</v>
      </c>
      <c r="B6">
        <v>3.1184267000000001</v>
      </c>
      <c r="C6">
        <v>0.213783016502093</v>
      </c>
      <c r="D6">
        <v>0.213783016502093</v>
      </c>
      <c r="E6">
        <v>23896.030999999999</v>
      </c>
      <c r="G6">
        <v>1.9952619999999998E-3</v>
      </c>
      <c r="H6">
        <v>0.34020260000000002</v>
      </c>
      <c r="I6">
        <v>1.9596166127674099</v>
      </c>
      <c r="J6">
        <v>1.9596166127674099</v>
      </c>
      <c r="K6">
        <v>232517.53</v>
      </c>
      <c r="M6">
        <v>1.9952619999999998E-3</v>
      </c>
      <c r="N6">
        <v>0.11078184000000001</v>
      </c>
      <c r="O6">
        <v>6.0178334884730802</v>
      </c>
      <c r="P6">
        <v>6.0178334884730802</v>
      </c>
      <c r="Q6">
        <v>685232.16</v>
      </c>
      <c r="S6">
        <v>1.9952619999999998E-3</v>
      </c>
      <c r="T6">
        <v>2.7415435000000001</v>
      </c>
      <c r="U6">
        <v>0.243172018487639</v>
      </c>
      <c r="V6">
        <v>0.243172018487639</v>
      </c>
      <c r="W6">
        <v>29822.566999999999</v>
      </c>
      <c r="Y6">
        <v>1.9952619999999998E-3</v>
      </c>
      <c r="Z6">
        <v>0.93152548000000002</v>
      </c>
      <c r="AA6">
        <v>0.71567196064960703</v>
      </c>
      <c r="AB6">
        <v>0.71567196064960703</v>
      </c>
      <c r="AC6">
        <v>89572.548999999999</v>
      </c>
      <c r="AE6">
        <v>1.9952619999999998E-3</v>
      </c>
      <c r="AF6">
        <v>4.2791474000000003</v>
      </c>
      <c r="AG6">
        <v>0.15579427496857601</v>
      </c>
      <c r="AH6">
        <v>0.15579427496857601</v>
      </c>
      <c r="AI6">
        <v>25238.116999999998</v>
      </c>
    </row>
    <row r="7" spans="1:35" x14ac:dyDescent="0.15">
      <c r="A7">
        <v>2.5118860000000001E-3</v>
      </c>
      <c r="B7">
        <v>2.6470487999999999</v>
      </c>
      <c r="C7">
        <v>0.25185280553447498</v>
      </c>
      <c r="D7">
        <v>0.25185280553447498</v>
      </c>
      <c r="E7">
        <v>22804.137999999999</v>
      </c>
      <c r="G7">
        <v>2.5118860000000001E-3</v>
      </c>
      <c r="H7">
        <v>0.28256437000000001</v>
      </c>
      <c r="I7">
        <v>2.35934440944082</v>
      </c>
      <c r="J7">
        <v>2.35934440944082</v>
      </c>
      <c r="K7">
        <v>211885.9</v>
      </c>
      <c r="M7">
        <v>2.5118860000000001E-3</v>
      </c>
      <c r="N7">
        <v>9.2416564000000007E-2</v>
      </c>
      <c r="O7">
        <v>7.2137140552711596</v>
      </c>
      <c r="P7">
        <v>7.2137140552711596</v>
      </c>
      <c r="Q7">
        <v>652957.98</v>
      </c>
      <c r="S7">
        <v>2.5118860000000001E-3</v>
      </c>
      <c r="T7">
        <v>2.3089879</v>
      </c>
      <c r="U7">
        <v>0.288726790931501</v>
      </c>
      <c r="V7">
        <v>0.288726790931501</v>
      </c>
      <c r="W7">
        <v>28629.716</v>
      </c>
      <c r="Y7">
        <v>2.5118860000000001E-3</v>
      </c>
      <c r="Z7">
        <v>0.75445234999999999</v>
      </c>
      <c r="AA7">
        <v>0.88364317066103204</v>
      </c>
      <c r="AB7">
        <v>0.88364317066103204</v>
      </c>
      <c r="AC7">
        <v>88479.44</v>
      </c>
      <c r="AE7">
        <v>2.5118860000000001E-3</v>
      </c>
      <c r="AF7">
        <v>3.4942918999999999</v>
      </c>
      <c r="AG7">
        <v>0.190787342828075</v>
      </c>
      <c r="AH7">
        <v>0.190787342828075</v>
      </c>
      <c r="AI7">
        <v>25352.081999999999</v>
      </c>
    </row>
    <row r="8" spans="1:35" x14ac:dyDescent="0.15">
      <c r="A8">
        <v>3.1622780000000001E-3</v>
      </c>
      <c r="B8">
        <v>2.2599258999999998</v>
      </c>
      <c r="C8">
        <v>0.29499492291613</v>
      </c>
      <c r="D8">
        <v>0.29499492291613</v>
      </c>
      <c r="E8">
        <v>21555.146000000001</v>
      </c>
      <c r="G8">
        <v>3.1622780000000001E-3</v>
      </c>
      <c r="H8">
        <v>0.24650569</v>
      </c>
      <c r="I8">
        <v>2.7044676602258799</v>
      </c>
      <c r="J8">
        <v>2.7044676602258799</v>
      </c>
      <c r="K8">
        <v>193215.59</v>
      </c>
      <c r="M8">
        <v>3.1622780000000001E-3</v>
      </c>
      <c r="N8">
        <v>7.8291421999999999E-2</v>
      </c>
      <c r="O8">
        <v>8.5151942529114706</v>
      </c>
      <c r="P8">
        <v>8.5151942529114706</v>
      </c>
      <c r="Q8">
        <v>612594.94999999995</v>
      </c>
      <c r="S8">
        <v>3.1622780000000001E-3</v>
      </c>
      <c r="T8">
        <v>1.9106088000000001</v>
      </c>
      <c r="U8">
        <v>0.34892892080611498</v>
      </c>
      <c r="V8">
        <v>0.34892892080611498</v>
      </c>
      <c r="W8">
        <v>26461.82</v>
      </c>
      <c r="Y8">
        <v>3.1622780000000001E-3</v>
      </c>
      <c r="Z8">
        <v>0.61583628000000001</v>
      </c>
      <c r="AA8">
        <v>1.0825387985694299</v>
      </c>
      <c r="AB8">
        <v>1.0825387985694299</v>
      </c>
      <c r="AC8">
        <v>86581.21</v>
      </c>
      <c r="AE8">
        <v>3.1622780000000001E-3</v>
      </c>
      <c r="AF8">
        <v>2.8543881999999998</v>
      </c>
      <c r="AG8">
        <v>0.23355851410353601</v>
      </c>
      <c r="AH8">
        <v>0.23355851410353601</v>
      </c>
      <c r="AI8">
        <v>25288.167000000001</v>
      </c>
    </row>
    <row r="9" spans="1:35" x14ac:dyDescent="0.15">
      <c r="A9">
        <v>3.9810720000000004E-3</v>
      </c>
      <c r="B9">
        <v>1.8872716</v>
      </c>
      <c r="C9">
        <v>0.35324362782053598</v>
      </c>
      <c r="D9">
        <v>0.35324362782053598</v>
      </c>
      <c r="E9">
        <v>19720.884999999998</v>
      </c>
      <c r="G9">
        <v>3.9810720000000004E-3</v>
      </c>
      <c r="H9">
        <v>0.21854159000000001</v>
      </c>
      <c r="I9">
        <v>3.0505253790213001</v>
      </c>
      <c r="J9">
        <v>3.0505253790213001</v>
      </c>
      <c r="K9">
        <v>173315.85</v>
      </c>
      <c r="M9">
        <v>3.9810720000000004E-3</v>
      </c>
      <c r="N9">
        <v>6.6045270000000003E-2</v>
      </c>
      <c r="O9">
        <v>10.094086475332199</v>
      </c>
      <c r="P9">
        <v>10.094086475332199</v>
      </c>
      <c r="Q9">
        <v>548895.37</v>
      </c>
      <c r="S9">
        <v>3.9810720000000004E-3</v>
      </c>
      <c r="T9">
        <v>1.6086054999999999</v>
      </c>
      <c r="U9">
        <v>0.41443763972376502</v>
      </c>
      <c r="V9">
        <v>0.41443763972376502</v>
      </c>
      <c r="W9">
        <v>25283.68</v>
      </c>
      <c r="Y9">
        <v>3.9810720000000004E-3</v>
      </c>
      <c r="Z9">
        <v>0.49112376000000002</v>
      </c>
      <c r="AA9">
        <v>1.35743110181977</v>
      </c>
      <c r="AB9">
        <v>1.35743110181977</v>
      </c>
      <c r="AC9">
        <v>82358.607999999993</v>
      </c>
      <c r="AE9">
        <v>3.9810720000000004E-3</v>
      </c>
      <c r="AF9">
        <v>2.2640509999999998</v>
      </c>
      <c r="AG9">
        <v>0.294457442286709</v>
      </c>
      <c r="AH9">
        <v>0.294457442286709</v>
      </c>
      <c r="AI9">
        <v>24538.435000000001</v>
      </c>
    </row>
    <row r="10" spans="1:35" x14ac:dyDescent="0.15">
      <c r="A10">
        <v>5.0118719999999997E-3</v>
      </c>
      <c r="B10">
        <v>1.636439</v>
      </c>
      <c r="C10">
        <v>0.40738864489704002</v>
      </c>
      <c r="D10">
        <v>0.40738864489704002</v>
      </c>
      <c r="E10">
        <v>18256.948</v>
      </c>
      <c r="G10">
        <v>5.0118719999999997E-3</v>
      </c>
      <c r="H10">
        <v>0.19410336</v>
      </c>
      <c r="I10">
        <v>3.43459622062527</v>
      </c>
      <c r="J10">
        <v>3.43459622062527</v>
      </c>
      <c r="K10">
        <v>147531.63</v>
      </c>
      <c r="M10">
        <v>5.0118719999999997E-3</v>
      </c>
      <c r="N10">
        <v>5.8281756999999997E-2</v>
      </c>
      <c r="O10">
        <v>11.4386851217726</v>
      </c>
      <c r="P10">
        <v>11.4386851217726</v>
      </c>
      <c r="Q10">
        <v>494247.61</v>
      </c>
      <c r="S10">
        <v>5.0118719999999997E-3</v>
      </c>
      <c r="T10">
        <v>1.385276</v>
      </c>
      <c r="U10">
        <v>0.481251870866648</v>
      </c>
      <c r="V10">
        <v>0.481251870866648</v>
      </c>
      <c r="W10">
        <v>23538.307000000001</v>
      </c>
      <c r="Y10">
        <v>5.0118719999999997E-3</v>
      </c>
      <c r="Z10">
        <v>0.41066396999999999</v>
      </c>
      <c r="AA10">
        <v>1.6233872834440899</v>
      </c>
      <c r="AB10">
        <v>1.6233872834440899</v>
      </c>
      <c r="AC10">
        <v>78500.894</v>
      </c>
      <c r="AE10">
        <v>5.0118719999999997E-3</v>
      </c>
      <c r="AF10">
        <v>1.8571853</v>
      </c>
      <c r="AG10">
        <v>0.35896615521707298</v>
      </c>
      <c r="AH10">
        <v>0.35896615521707298</v>
      </c>
      <c r="AI10">
        <v>24153.71</v>
      </c>
    </row>
    <row r="11" spans="1:35" x14ac:dyDescent="0.15">
      <c r="A11">
        <v>6.3095729999999997E-3</v>
      </c>
      <c r="B11">
        <v>1.439084</v>
      </c>
      <c r="C11">
        <v>0.46325764629908101</v>
      </c>
      <c r="D11">
        <v>0.46325764629908101</v>
      </c>
      <c r="E11">
        <v>15767.38</v>
      </c>
      <c r="G11">
        <v>6.3095729999999997E-3</v>
      </c>
      <c r="H11">
        <v>0.17836194</v>
      </c>
      <c r="I11">
        <v>3.7377181850941201</v>
      </c>
      <c r="J11">
        <v>3.7377181850941201</v>
      </c>
      <c r="K11">
        <v>127618.42</v>
      </c>
      <c r="M11">
        <v>6.3095729999999997E-3</v>
      </c>
      <c r="N11">
        <v>5.2497213000000001E-2</v>
      </c>
      <c r="O11">
        <v>12.6990868385083</v>
      </c>
      <c r="P11">
        <v>12.6990868385083</v>
      </c>
      <c r="Q11">
        <v>435962.99</v>
      </c>
      <c r="S11">
        <v>6.3095729999999997E-3</v>
      </c>
      <c r="T11">
        <v>1.1858690999999999</v>
      </c>
      <c r="U11">
        <v>0.56217559481621304</v>
      </c>
      <c r="V11">
        <v>0.56217559481621304</v>
      </c>
      <c r="W11">
        <v>20894.763999999999</v>
      </c>
      <c r="Y11">
        <v>6.3095729999999997E-3</v>
      </c>
      <c r="Z11">
        <v>0.33908289000000003</v>
      </c>
      <c r="AA11">
        <v>1.96608760373213</v>
      </c>
      <c r="AB11">
        <v>1.96608760373213</v>
      </c>
      <c r="AC11">
        <v>71998.270999999993</v>
      </c>
      <c r="AE11">
        <v>6.3095729999999997E-3</v>
      </c>
      <c r="AF11">
        <v>1.5435962000000001</v>
      </c>
      <c r="AG11">
        <v>0.43189188122299499</v>
      </c>
      <c r="AH11">
        <v>0.43189188122299499</v>
      </c>
      <c r="AI11">
        <v>23372.44</v>
      </c>
    </row>
    <row r="12" spans="1:35" x14ac:dyDescent="0.15">
      <c r="A12">
        <v>7.9432819999999994E-3</v>
      </c>
      <c r="B12">
        <v>1.2518153000000001</v>
      </c>
      <c r="C12">
        <v>0.53255992850276401</v>
      </c>
      <c r="D12">
        <v>0.53255992850276401</v>
      </c>
      <c r="E12">
        <v>14515.718000000001</v>
      </c>
      <c r="G12">
        <v>7.9432819999999994E-3</v>
      </c>
      <c r="H12">
        <v>0.16747834</v>
      </c>
      <c r="I12">
        <v>3.98061424938094</v>
      </c>
      <c r="J12">
        <v>3.98061424938094</v>
      </c>
      <c r="K12">
        <v>102703.57</v>
      </c>
      <c r="M12">
        <v>7.9432819999999994E-3</v>
      </c>
      <c r="N12">
        <v>4.7979411999999999E-2</v>
      </c>
      <c r="O12">
        <v>13.8948486210433</v>
      </c>
      <c r="P12">
        <v>13.8948486210433</v>
      </c>
      <c r="Q12">
        <v>360458.16</v>
      </c>
      <c r="S12">
        <v>7.9432819999999994E-3</v>
      </c>
      <c r="T12">
        <v>1.0346309</v>
      </c>
      <c r="U12">
        <v>0.64435217106570697</v>
      </c>
      <c r="V12">
        <v>0.64435217106570697</v>
      </c>
      <c r="W12">
        <v>19147.550999999999</v>
      </c>
      <c r="Y12">
        <v>7.9432819999999994E-3</v>
      </c>
      <c r="Z12">
        <v>0.29248647</v>
      </c>
      <c r="AA12">
        <v>2.2793077117949001</v>
      </c>
      <c r="AB12">
        <v>2.2793077117949001</v>
      </c>
      <c r="AC12">
        <v>66436.593999999997</v>
      </c>
      <c r="AE12">
        <v>7.9432819999999994E-3</v>
      </c>
      <c r="AF12">
        <v>1.2588854</v>
      </c>
      <c r="AG12">
        <v>0.52956898750805004</v>
      </c>
      <c r="AH12">
        <v>0.52956898750805004</v>
      </c>
      <c r="AI12">
        <v>21841.749</v>
      </c>
    </row>
    <row r="13" spans="1:35" x14ac:dyDescent="0.15">
      <c r="A13">
        <v>0.01</v>
      </c>
      <c r="B13">
        <v>1.1240399999999999</v>
      </c>
      <c r="C13">
        <v>0.59309870348623395</v>
      </c>
      <c r="D13">
        <v>0.59309870348623395</v>
      </c>
      <c r="E13">
        <v>12251.754000000001</v>
      </c>
      <c r="G13">
        <v>0.01</v>
      </c>
      <c r="H13">
        <v>0.15983738</v>
      </c>
      <c r="I13">
        <v>4.1709058711214304</v>
      </c>
      <c r="J13">
        <v>4.1709058711214304</v>
      </c>
      <c r="K13">
        <v>85510.108999999997</v>
      </c>
      <c r="M13">
        <v>0.01</v>
      </c>
      <c r="N13">
        <v>4.5253656000000003E-2</v>
      </c>
      <c r="O13">
        <v>14.731774746921401</v>
      </c>
      <c r="P13">
        <v>14.731774746921401</v>
      </c>
      <c r="Q13">
        <v>288768.2</v>
      </c>
      <c r="S13">
        <v>0.01</v>
      </c>
      <c r="T13">
        <v>0.91187982000000001</v>
      </c>
      <c r="U13">
        <v>0.73109049245838797</v>
      </c>
      <c r="V13">
        <v>0.73109049245838797</v>
      </c>
      <c r="W13">
        <v>16468.677</v>
      </c>
      <c r="Y13">
        <v>0.01</v>
      </c>
      <c r="Z13">
        <v>0.25164389999999998</v>
      </c>
      <c r="AA13">
        <v>2.6492462828094201</v>
      </c>
      <c r="AB13">
        <v>2.6492462828094201</v>
      </c>
      <c r="AC13">
        <v>58417.358</v>
      </c>
      <c r="AE13">
        <v>0.01</v>
      </c>
      <c r="AF13">
        <v>1.0709979999999999</v>
      </c>
      <c r="AG13">
        <v>0.6224723731199</v>
      </c>
      <c r="AH13">
        <v>0.6224723731199</v>
      </c>
      <c r="AI13">
        <v>20550.5</v>
      </c>
    </row>
    <row r="14" spans="1:35" x14ac:dyDescent="0.15">
      <c r="A14">
        <v>1.2589253999999999E-2</v>
      </c>
      <c r="B14">
        <v>1.0175581</v>
      </c>
      <c r="C14">
        <v>0.65516324489644995</v>
      </c>
      <c r="D14">
        <v>0.65516324489644995</v>
      </c>
      <c r="E14">
        <v>10802.215</v>
      </c>
      <c r="G14">
        <v>1.2589253999999999E-2</v>
      </c>
      <c r="H14">
        <v>0.15639043</v>
      </c>
      <c r="I14">
        <v>4.2628354347939696</v>
      </c>
      <c r="J14">
        <v>4.2628354347939696</v>
      </c>
      <c r="K14">
        <v>66020.710999999996</v>
      </c>
      <c r="M14">
        <v>1.2589253999999999E-2</v>
      </c>
      <c r="N14">
        <v>4.3448507999999997E-2</v>
      </c>
      <c r="O14">
        <v>15.3438333640057</v>
      </c>
      <c r="P14">
        <v>15.3438333640057</v>
      </c>
      <c r="Q14">
        <v>291936.2</v>
      </c>
      <c r="S14">
        <v>1.2589253999999999E-2</v>
      </c>
      <c r="T14">
        <v>0.82212726000000003</v>
      </c>
      <c r="U14">
        <v>0.81090446589335397</v>
      </c>
      <c r="V14">
        <v>0.81090446589335397</v>
      </c>
      <c r="W14">
        <v>14568.152</v>
      </c>
      <c r="Y14">
        <v>1.2589253999999999E-2</v>
      </c>
      <c r="Z14">
        <v>0.22181448000000001</v>
      </c>
      <c r="AA14">
        <v>3.0055146384792701</v>
      </c>
      <c r="AB14">
        <v>3.0055146384792701</v>
      </c>
      <c r="AC14">
        <v>50117.722999999998</v>
      </c>
      <c r="AE14">
        <v>1.2589253999999999E-2</v>
      </c>
      <c r="AF14">
        <v>0.90317411000000003</v>
      </c>
      <c r="AG14">
        <v>0.73813748565784998</v>
      </c>
      <c r="AH14">
        <v>0.73813748565784998</v>
      </c>
      <c r="AI14">
        <v>18504.178</v>
      </c>
    </row>
    <row r="15" spans="1:35" x14ac:dyDescent="0.15">
      <c r="A15">
        <v>1.5848932E-2</v>
      </c>
      <c r="B15">
        <v>0.93264197000000004</v>
      </c>
      <c r="C15">
        <v>0.71481521110042501</v>
      </c>
      <c r="D15">
        <v>0.71481521110042501</v>
      </c>
      <c r="E15">
        <v>8920.0810999999994</v>
      </c>
      <c r="G15">
        <v>1.5848932E-2</v>
      </c>
      <c r="H15">
        <v>0.15610605999999999</v>
      </c>
      <c r="I15">
        <v>4.2706008124647203</v>
      </c>
      <c r="J15">
        <v>4.2706008124647203</v>
      </c>
      <c r="K15">
        <v>58105.309000000001</v>
      </c>
      <c r="M15">
        <v>1.5848932E-2</v>
      </c>
      <c r="N15">
        <v>4.1706651999999997E-2</v>
      </c>
      <c r="O15">
        <v>15.9846603526619</v>
      </c>
      <c r="P15">
        <v>15.9846603526619</v>
      </c>
      <c r="Q15">
        <v>310325.40999999997</v>
      </c>
      <c r="S15">
        <v>1.5848932E-2</v>
      </c>
      <c r="T15">
        <v>0.74478935999999996</v>
      </c>
      <c r="U15">
        <v>0.89510766730967595</v>
      </c>
      <c r="V15">
        <v>0.89510766730967595</v>
      </c>
      <c r="W15">
        <v>12171.813</v>
      </c>
      <c r="Y15">
        <v>1.5848932E-2</v>
      </c>
      <c r="Z15">
        <v>0.20178805</v>
      </c>
      <c r="AA15">
        <v>3.3037965660834101</v>
      </c>
      <c r="AB15">
        <v>3.3037965660834101</v>
      </c>
      <c r="AC15">
        <v>43803.09</v>
      </c>
      <c r="AE15">
        <v>1.5848932E-2</v>
      </c>
      <c r="AF15">
        <v>0.77914218999999996</v>
      </c>
      <c r="AG15">
        <v>0.85564185231281897</v>
      </c>
      <c r="AH15">
        <v>0.85564185231281897</v>
      </c>
      <c r="AI15">
        <v>16265.353999999999</v>
      </c>
    </row>
    <row r="16" spans="1:35" x14ac:dyDescent="0.15">
      <c r="A16">
        <v>1.9952622999999999E-2</v>
      </c>
      <c r="B16">
        <v>0.86965634000000003</v>
      </c>
      <c r="C16">
        <v>0.76658633531800202</v>
      </c>
      <c r="D16">
        <v>0.76658633531800202</v>
      </c>
      <c r="E16">
        <v>7234.3518000000004</v>
      </c>
      <c r="G16">
        <v>1.9952622999999999E-2</v>
      </c>
      <c r="H16">
        <v>0.15605383</v>
      </c>
      <c r="I16">
        <v>4.2720301492546904</v>
      </c>
      <c r="J16">
        <v>4.2720301492546904</v>
      </c>
      <c r="K16">
        <v>59372.658000000003</v>
      </c>
      <c r="M16">
        <v>1.9952622999999999E-2</v>
      </c>
      <c r="N16">
        <v>4.0022613999999998E-2</v>
      </c>
      <c r="O16">
        <v>16.657249490667098</v>
      </c>
      <c r="P16">
        <v>16.657249490667098</v>
      </c>
      <c r="Q16">
        <v>313829.87</v>
      </c>
      <c r="S16">
        <v>1.9952622999999999E-2</v>
      </c>
      <c r="T16">
        <v>0.68774961000000001</v>
      </c>
      <c r="U16">
        <v>0.96934503047797704</v>
      </c>
      <c r="V16">
        <v>0.96934503047797704</v>
      </c>
      <c r="W16">
        <v>9969.8228999999992</v>
      </c>
      <c r="Y16">
        <v>1.9952622999999999E-2</v>
      </c>
      <c r="Z16">
        <v>0.18522113000000001</v>
      </c>
      <c r="AA16">
        <v>3.59930136840579</v>
      </c>
      <c r="AB16">
        <v>3.59930136840579</v>
      </c>
      <c r="AC16">
        <v>36069.718999999997</v>
      </c>
      <c r="AE16">
        <v>1.9952622999999999E-2</v>
      </c>
      <c r="AF16">
        <v>0.69082502000000001</v>
      </c>
      <c r="AG16">
        <v>0.96502970704023805</v>
      </c>
      <c r="AH16">
        <v>0.96502970704023805</v>
      </c>
      <c r="AI16">
        <v>13893.829</v>
      </c>
    </row>
    <row r="17" spans="1:35" x14ac:dyDescent="0.15">
      <c r="A17">
        <v>2.5118864000000001E-2</v>
      </c>
      <c r="B17">
        <v>0.82226851999999995</v>
      </c>
      <c r="C17">
        <v>0.81076515815863504</v>
      </c>
      <c r="D17">
        <v>0.81076515815863504</v>
      </c>
      <c r="E17">
        <v>5782.7161999999998</v>
      </c>
      <c r="G17">
        <v>2.5118864000000001E-2</v>
      </c>
      <c r="H17">
        <v>0.15603243</v>
      </c>
      <c r="I17">
        <v>4.2726160623574598</v>
      </c>
      <c r="J17">
        <v>4.2726160623574598</v>
      </c>
      <c r="K17">
        <v>60635.372000000003</v>
      </c>
      <c r="M17">
        <v>2.5118864000000001E-2</v>
      </c>
      <c r="N17">
        <v>3.8401908999999998E-2</v>
      </c>
      <c r="O17">
        <v>17.360248071695299</v>
      </c>
      <c r="P17">
        <v>17.360248071695299</v>
      </c>
      <c r="Q17">
        <v>333679.84999999998</v>
      </c>
      <c r="S17">
        <v>2.5118864000000001E-2</v>
      </c>
      <c r="T17">
        <v>0.64589626</v>
      </c>
      <c r="U17">
        <v>1.03215749641694</v>
      </c>
      <c r="V17">
        <v>1.03215749641694</v>
      </c>
      <c r="W17">
        <v>8024.6731</v>
      </c>
      <c r="Y17">
        <v>2.5118864000000001E-2</v>
      </c>
      <c r="Z17">
        <v>0.17350536999999999</v>
      </c>
      <c r="AA17">
        <v>3.8423402495649901</v>
      </c>
      <c r="AB17">
        <v>3.8423402495649901</v>
      </c>
      <c r="AC17">
        <v>29098.3</v>
      </c>
      <c r="AE17">
        <v>2.5118864000000001E-2</v>
      </c>
      <c r="AF17">
        <v>0.61857371000000005</v>
      </c>
      <c r="AG17">
        <v>1.0777481420389901</v>
      </c>
      <c r="AH17">
        <v>1.0777481420389901</v>
      </c>
      <c r="AI17">
        <v>12367.03</v>
      </c>
    </row>
    <row r="18" spans="1:35" x14ac:dyDescent="0.15">
      <c r="A18">
        <v>3.1622776999999998E-2</v>
      </c>
      <c r="B18">
        <v>0.78596759999999999</v>
      </c>
      <c r="C18">
        <v>0.84821138513428096</v>
      </c>
      <c r="D18">
        <v>0.84821138513428096</v>
      </c>
      <c r="E18">
        <v>4570.2021000000004</v>
      </c>
      <c r="G18">
        <v>3.1622776999999998E-2</v>
      </c>
      <c r="H18">
        <v>0.15600004000000001</v>
      </c>
      <c r="I18">
        <v>4.2735031777342298</v>
      </c>
      <c r="J18">
        <v>4.2735031777342298</v>
      </c>
      <c r="K18">
        <v>58884.101999999999</v>
      </c>
      <c r="M18">
        <v>3.1622776999999998E-2</v>
      </c>
      <c r="N18">
        <v>3.6852531000000001E-2</v>
      </c>
      <c r="O18">
        <v>18.0901188758695</v>
      </c>
      <c r="P18">
        <v>18.0901188758695</v>
      </c>
      <c r="Q18">
        <v>337398.94</v>
      </c>
      <c r="S18">
        <v>3.1622776999999998E-2</v>
      </c>
      <c r="T18">
        <v>0.61513397000000003</v>
      </c>
      <c r="U18">
        <v>1.0837747534356901</v>
      </c>
      <c r="V18">
        <v>1.0837747534356901</v>
      </c>
      <c r="W18">
        <v>6366.3162000000002</v>
      </c>
      <c r="Y18">
        <v>3.1622776999999998E-2</v>
      </c>
      <c r="Z18">
        <v>0.16545282</v>
      </c>
      <c r="AA18">
        <v>4.0293460496271196</v>
      </c>
      <c r="AB18">
        <v>4.0293460496271196</v>
      </c>
      <c r="AC18">
        <v>24248.914000000001</v>
      </c>
      <c r="AE18">
        <v>3.1622776999999998E-2</v>
      </c>
      <c r="AF18">
        <v>0.56241615</v>
      </c>
      <c r="AG18">
        <v>1.1853618831299</v>
      </c>
      <c r="AH18">
        <v>1.1853618831299</v>
      </c>
      <c r="AI18">
        <v>10290.530000000001</v>
      </c>
    </row>
    <row r="19" spans="1:35" x14ac:dyDescent="0.15">
      <c r="A19">
        <v>3.9810717000000002E-2</v>
      </c>
      <c r="B19">
        <v>0.75832241</v>
      </c>
      <c r="C19">
        <v>0.87913354250821396</v>
      </c>
      <c r="D19">
        <v>0.87913354250821396</v>
      </c>
      <c r="E19">
        <v>3576.8696</v>
      </c>
      <c r="G19">
        <v>3.9810717000000002E-2</v>
      </c>
      <c r="H19">
        <v>0.15598268000000001</v>
      </c>
      <c r="I19">
        <v>4.2739787947396897</v>
      </c>
      <c r="J19">
        <v>4.2739787947396897</v>
      </c>
      <c r="K19">
        <v>60109.372000000003</v>
      </c>
      <c r="M19">
        <v>3.9810717000000002E-2</v>
      </c>
      <c r="N19">
        <v>3.5366870000000002E-2</v>
      </c>
      <c r="O19">
        <v>18.850033001695301</v>
      </c>
      <c r="P19">
        <v>18.850033001695301</v>
      </c>
      <c r="Q19">
        <v>358634.63</v>
      </c>
      <c r="S19">
        <v>3.9810717000000002E-2</v>
      </c>
      <c r="T19">
        <v>0.59316888999999995</v>
      </c>
      <c r="U19">
        <v>1.12390699833679</v>
      </c>
      <c r="V19">
        <v>1.12390699833679</v>
      </c>
      <c r="W19">
        <v>4986.1457</v>
      </c>
      <c r="Y19">
        <v>3.9810717000000002E-2</v>
      </c>
      <c r="Z19">
        <v>0.15861360999999999</v>
      </c>
      <c r="AA19">
        <v>4.2030861454238799</v>
      </c>
      <c r="AB19">
        <v>4.2030861454238799</v>
      </c>
      <c r="AC19">
        <v>25856.311000000002</v>
      </c>
      <c r="AE19">
        <v>3.9810717000000002E-2</v>
      </c>
      <c r="AF19">
        <v>0.51973294000000003</v>
      </c>
      <c r="AG19">
        <v>1.28271005233316</v>
      </c>
      <c r="AH19">
        <v>1.28271005233316</v>
      </c>
      <c r="AI19">
        <v>8420.5738000000001</v>
      </c>
    </row>
    <row r="20" spans="1:35" x14ac:dyDescent="0.15">
      <c r="A20">
        <v>5.0118722999999997E-2</v>
      </c>
      <c r="B20">
        <v>0.73765453000000003</v>
      </c>
      <c r="C20">
        <v>0.903765434297091</v>
      </c>
      <c r="D20">
        <v>0.903765434297091</v>
      </c>
      <c r="E20">
        <v>2775.6088</v>
      </c>
      <c r="G20">
        <v>5.0118722999999997E-2</v>
      </c>
      <c r="H20">
        <v>0.15596947999999999</v>
      </c>
      <c r="I20">
        <v>4.27434050986556</v>
      </c>
      <c r="J20">
        <v>4.27434050986556</v>
      </c>
      <c r="K20">
        <v>58350.328000000001</v>
      </c>
      <c r="M20">
        <v>5.0118722999999997E-2</v>
      </c>
      <c r="N20">
        <v>3.3960285999999999E-2</v>
      </c>
      <c r="O20">
        <v>19.630773034911002</v>
      </c>
      <c r="P20">
        <v>19.630773034911002</v>
      </c>
      <c r="Q20">
        <v>380977.25</v>
      </c>
      <c r="S20">
        <v>5.0118722999999997E-2</v>
      </c>
      <c r="T20">
        <v>0.57856297999999995</v>
      </c>
      <c r="U20">
        <v>1.1522802006216599</v>
      </c>
      <c r="V20">
        <v>1.1522802006216599</v>
      </c>
      <c r="W20">
        <v>3859.2525999999998</v>
      </c>
      <c r="Y20">
        <v>5.0118722999999997E-2</v>
      </c>
      <c r="Z20">
        <v>0.15208877000000001</v>
      </c>
      <c r="AA20">
        <v>4.3834049461157898</v>
      </c>
      <c r="AB20">
        <v>4.3834049461157898</v>
      </c>
      <c r="AC20">
        <v>26198.717000000001</v>
      </c>
      <c r="AE20">
        <v>5.0118722999999997E-2</v>
      </c>
      <c r="AF20">
        <v>0.48663720999999999</v>
      </c>
      <c r="AG20">
        <v>1.3699459329603401</v>
      </c>
      <c r="AH20">
        <v>1.3699459329603401</v>
      </c>
      <c r="AI20">
        <v>6457.7723999999998</v>
      </c>
    </row>
    <row r="21" spans="1:35" x14ac:dyDescent="0.15">
      <c r="A21">
        <v>6.3095734000000001E-2</v>
      </c>
      <c r="B21">
        <v>0.72239240999999998</v>
      </c>
      <c r="C21">
        <v>0.92285945621530896</v>
      </c>
      <c r="D21">
        <v>0.92285945621530896</v>
      </c>
      <c r="E21">
        <v>2138.6880999999998</v>
      </c>
      <c r="G21">
        <v>6.3095734000000001E-2</v>
      </c>
      <c r="H21">
        <v>0.15595143</v>
      </c>
      <c r="I21">
        <v>4.2748352270105299</v>
      </c>
      <c r="J21">
        <v>4.2748352270105299</v>
      </c>
      <c r="K21">
        <v>59548.711000000003</v>
      </c>
      <c r="M21">
        <v>6.3095734000000001E-2</v>
      </c>
      <c r="N21">
        <v>3.2622658999999998E-2</v>
      </c>
      <c r="O21">
        <v>20.4356936896734</v>
      </c>
      <c r="P21">
        <v>20.4356936896734</v>
      </c>
      <c r="Q21">
        <v>384804.6</v>
      </c>
      <c r="S21">
        <v>6.3095734000000001E-2</v>
      </c>
      <c r="T21">
        <v>0.57002233000000002</v>
      </c>
      <c r="U21">
        <v>1.1695448258433401</v>
      </c>
      <c r="V21">
        <v>1.1695448258433401</v>
      </c>
      <c r="W21">
        <v>2956.0070000000001</v>
      </c>
      <c r="Y21">
        <v>6.3095734000000001E-2</v>
      </c>
      <c r="Z21">
        <v>0.14590562000000001</v>
      </c>
      <c r="AA21">
        <v>4.5691637283517004</v>
      </c>
      <c r="AB21">
        <v>4.5691637283517004</v>
      </c>
      <c r="AC21">
        <v>27889.613000000001</v>
      </c>
      <c r="AE21">
        <v>6.3095734000000001E-2</v>
      </c>
      <c r="AF21">
        <v>0.46180997000000001</v>
      </c>
      <c r="AG21">
        <v>1.44359522308855</v>
      </c>
      <c r="AH21">
        <v>1.44359522308855</v>
      </c>
      <c r="AI21">
        <v>5142.0754999999999</v>
      </c>
    </row>
    <row r="22" spans="1:35" x14ac:dyDescent="0.15">
      <c r="A22">
        <v>7.9432823E-2</v>
      </c>
      <c r="B22">
        <v>0.71116235000000005</v>
      </c>
      <c r="C22">
        <v>0.93743245359750405</v>
      </c>
      <c r="D22">
        <v>0.93743245359750405</v>
      </c>
      <c r="E22">
        <v>1638.8326</v>
      </c>
      <c r="G22">
        <v>7.9432823E-2</v>
      </c>
      <c r="H22">
        <v>0.15595538</v>
      </c>
      <c r="I22">
        <v>4.2747269550217899</v>
      </c>
      <c r="J22">
        <v>4.2747269550217899</v>
      </c>
      <c r="K22">
        <v>60756.758999999998</v>
      </c>
      <c r="M22">
        <v>7.9432823E-2</v>
      </c>
      <c r="N22">
        <v>3.1365283000000001E-2</v>
      </c>
      <c r="O22">
        <v>21.254922733095299</v>
      </c>
      <c r="P22">
        <v>21.254922733095299</v>
      </c>
      <c r="Q22">
        <v>408236.73</v>
      </c>
      <c r="S22">
        <v>7.9432823E-2</v>
      </c>
      <c r="T22">
        <v>0.56634894999999996</v>
      </c>
      <c r="U22">
        <v>1.1771305776529899</v>
      </c>
      <c r="V22">
        <v>1.1771305776529899</v>
      </c>
      <c r="W22">
        <v>2363.8202000000001</v>
      </c>
      <c r="Y22">
        <v>7.9432823E-2</v>
      </c>
      <c r="Z22">
        <v>0.14003398</v>
      </c>
      <c r="AA22">
        <v>4.7607492600486401</v>
      </c>
      <c r="AB22">
        <v>4.7607492600486401</v>
      </c>
      <c r="AC22">
        <v>28216.064999999999</v>
      </c>
      <c r="AE22">
        <v>7.9432823E-2</v>
      </c>
      <c r="AF22">
        <v>0.44184297</v>
      </c>
      <c r="AG22">
        <v>1.50883167082338</v>
      </c>
      <c r="AH22">
        <v>1.50883167082338</v>
      </c>
      <c r="AI22">
        <v>4984.1556</v>
      </c>
    </row>
    <row r="23" spans="1:35" x14ac:dyDescent="0.15">
      <c r="A23">
        <v>0.1</v>
      </c>
      <c r="B23">
        <v>0.70288936999999996</v>
      </c>
      <c r="C23">
        <v>0.94846599638669504</v>
      </c>
      <c r="D23">
        <v>0.94846599638669504</v>
      </c>
      <c r="E23">
        <v>1250.5109</v>
      </c>
      <c r="G23">
        <v>0.1</v>
      </c>
      <c r="H23">
        <v>0.15593396000000001</v>
      </c>
      <c r="I23">
        <v>4.2753141564971902</v>
      </c>
      <c r="J23">
        <v>4.2753141564971902</v>
      </c>
      <c r="K23">
        <v>58967.82</v>
      </c>
      <c r="M23">
        <v>0.1</v>
      </c>
      <c r="N23">
        <v>3.0182516999999999E-2</v>
      </c>
      <c r="O23">
        <v>22.087842000276702</v>
      </c>
      <c r="P23">
        <v>22.087842000276702</v>
      </c>
      <c r="Q23">
        <v>411606.73</v>
      </c>
      <c r="S23">
        <v>0.1</v>
      </c>
      <c r="T23">
        <v>0.56484774000000004</v>
      </c>
      <c r="U23">
        <v>1.18025906710128</v>
      </c>
      <c r="V23">
        <v>1.18025906710128</v>
      </c>
      <c r="W23">
        <v>2198.4387000000002</v>
      </c>
      <c r="Y23">
        <v>0.1</v>
      </c>
      <c r="Z23">
        <v>0.13450993999999999</v>
      </c>
      <c r="AA23">
        <v>4.9562632075121504</v>
      </c>
      <c r="AB23">
        <v>4.9562632075121504</v>
      </c>
      <c r="AC23">
        <v>28517.628000000001</v>
      </c>
      <c r="AE23">
        <v>0.1</v>
      </c>
      <c r="AF23">
        <v>0.42338607</v>
      </c>
      <c r="AG23">
        <v>1.5746069932500799</v>
      </c>
      <c r="AH23">
        <v>1.5746069932500799</v>
      </c>
      <c r="AI23">
        <v>5071.0319</v>
      </c>
    </row>
    <row r="24" spans="1:35" x14ac:dyDescent="0.15">
      <c r="A24">
        <v>0.125892541</v>
      </c>
      <c r="B24">
        <v>0.69677476000000005</v>
      </c>
      <c r="C24">
        <v>0.95678934562248896</v>
      </c>
      <c r="D24">
        <v>0.95678934562248896</v>
      </c>
      <c r="E24">
        <v>951.15819999999997</v>
      </c>
      <c r="G24">
        <v>0.125892541</v>
      </c>
      <c r="H24">
        <v>0.15593259000000001</v>
      </c>
      <c r="I24">
        <v>4.2753517187565899</v>
      </c>
      <c r="J24">
        <v>4.2753517187565899</v>
      </c>
      <c r="K24">
        <v>60158.116999999998</v>
      </c>
      <c r="M24">
        <v>0.125892541</v>
      </c>
      <c r="N24">
        <v>2.9078153999999998E-2</v>
      </c>
      <c r="O24">
        <v>22.926719029917301</v>
      </c>
      <c r="P24">
        <v>22.926719029917301</v>
      </c>
      <c r="Q24">
        <v>435773.85</v>
      </c>
      <c r="S24">
        <v>0.125892541</v>
      </c>
      <c r="T24">
        <v>0.56370796999999995</v>
      </c>
      <c r="U24">
        <v>1.1826454514500999</v>
      </c>
      <c r="V24">
        <v>1.1826454514500999</v>
      </c>
      <c r="W24">
        <v>2149.2206000000001</v>
      </c>
      <c r="Y24">
        <v>0.125892541</v>
      </c>
      <c r="Z24">
        <v>0.12931477999999999</v>
      </c>
      <c r="AA24">
        <v>5.1553787329388499</v>
      </c>
      <c r="AB24">
        <v>5.1553787329388499</v>
      </c>
      <c r="AC24">
        <v>30272.708999999999</v>
      </c>
      <c r="AE24">
        <v>0.125892541</v>
      </c>
      <c r="AF24">
        <v>0.40612098000000002</v>
      </c>
      <c r="AG24">
        <v>1.6415469761416099</v>
      </c>
      <c r="AH24">
        <v>1.6415469761416099</v>
      </c>
      <c r="AI24">
        <v>5148.5133999999998</v>
      </c>
    </row>
    <row r="25" spans="1:35" x14ac:dyDescent="0.15">
      <c r="A25">
        <v>0.15848931899999999</v>
      </c>
      <c r="B25">
        <v>0.69222618000000002</v>
      </c>
      <c r="C25">
        <v>0.96307635557306803</v>
      </c>
      <c r="D25">
        <v>0.96307635557306803</v>
      </c>
      <c r="E25">
        <v>721.73114999999996</v>
      </c>
      <c r="G25">
        <v>0.15848931899999999</v>
      </c>
      <c r="H25">
        <v>0.15592718999999999</v>
      </c>
      <c r="I25">
        <v>4.2754997808058102</v>
      </c>
      <c r="J25">
        <v>4.2754997808058102</v>
      </c>
      <c r="K25">
        <v>58375.832000000002</v>
      </c>
      <c r="M25">
        <v>0.15848931899999999</v>
      </c>
      <c r="N25">
        <v>2.8050069E-2</v>
      </c>
      <c r="O25">
        <v>23.767024126274599</v>
      </c>
      <c r="P25">
        <v>23.767024126274599</v>
      </c>
      <c r="Q25">
        <v>438291.8</v>
      </c>
      <c r="S25">
        <v>0.15848931899999999</v>
      </c>
      <c r="T25">
        <v>0.56280861999999998</v>
      </c>
      <c r="U25">
        <v>1.1845352806903799</v>
      </c>
      <c r="V25">
        <v>1.1845352806903799</v>
      </c>
      <c r="W25">
        <v>2097.9998000000001</v>
      </c>
      <c r="Y25">
        <v>0.15848931899999999</v>
      </c>
      <c r="Z25">
        <v>0.12445615</v>
      </c>
      <c r="AA25">
        <v>5.3566389982870799</v>
      </c>
      <c r="AB25">
        <v>5.3566389982870799</v>
      </c>
      <c r="AC25">
        <v>30528.463</v>
      </c>
      <c r="AE25">
        <v>0.15848931899999999</v>
      </c>
      <c r="AF25">
        <v>0.38999790000000001</v>
      </c>
      <c r="AG25">
        <v>1.7094109139220199</v>
      </c>
      <c r="AH25">
        <v>1.7094109139220199</v>
      </c>
      <c r="AI25">
        <v>5216.9479000000001</v>
      </c>
    </row>
    <row r="26" spans="1:35" x14ac:dyDescent="0.15">
      <c r="A26">
        <v>0.199526231</v>
      </c>
      <c r="B26">
        <v>0.68868545999999997</v>
      </c>
      <c r="C26">
        <v>0.968027794091466</v>
      </c>
      <c r="D26">
        <v>0.968027794091466</v>
      </c>
      <c r="E26">
        <v>576.39979000000005</v>
      </c>
      <c r="G26">
        <v>0.199526231</v>
      </c>
      <c r="H26">
        <v>0.15591906</v>
      </c>
      <c r="I26">
        <v>4.2757227157902697</v>
      </c>
      <c r="J26">
        <v>4.2757227157902697</v>
      </c>
      <c r="K26">
        <v>59551.703999999998</v>
      </c>
      <c r="M26">
        <v>0.199526231</v>
      </c>
      <c r="N26">
        <v>2.7097212999999998E-2</v>
      </c>
      <c r="O26">
        <v>24.602776184645499</v>
      </c>
      <c r="P26">
        <v>24.602776184645499</v>
      </c>
      <c r="Q26">
        <v>462760.15</v>
      </c>
      <c r="S26">
        <v>0.199526231</v>
      </c>
      <c r="T26">
        <v>0.56209536000000004</v>
      </c>
      <c r="U26">
        <v>1.18603837374973</v>
      </c>
      <c r="V26">
        <v>1.18603837374973</v>
      </c>
      <c r="W26">
        <v>2045.588</v>
      </c>
      <c r="Y26">
        <v>0.199526231</v>
      </c>
      <c r="Z26">
        <v>0.11993863</v>
      </c>
      <c r="AA26">
        <v>5.55839821304167</v>
      </c>
      <c r="AB26">
        <v>5.55839821304167</v>
      </c>
      <c r="AC26">
        <v>32321.151999999998</v>
      </c>
      <c r="AE26">
        <v>0.199526231</v>
      </c>
      <c r="AF26">
        <v>0.37497979999999997</v>
      </c>
      <c r="AG26">
        <v>1.7778735458994499</v>
      </c>
      <c r="AH26">
        <v>1.7778735458994499</v>
      </c>
      <c r="AI26">
        <v>5276.3181000000004</v>
      </c>
    </row>
    <row r="27" spans="1:35" x14ac:dyDescent="0.15">
      <c r="A27">
        <v>0.25118864299999999</v>
      </c>
      <c r="B27">
        <v>0.68559795999999995</v>
      </c>
      <c r="C27">
        <v>0.97238717960401599</v>
      </c>
      <c r="D27">
        <v>0.97238717960401599</v>
      </c>
      <c r="E27">
        <v>511.02030999999999</v>
      </c>
      <c r="G27">
        <v>0.25118864299999999</v>
      </c>
      <c r="H27">
        <v>0.15592913999999999</v>
      </c>
      <c r="I27">
        <v>4.2754463127717299</v>
      </c>
      <c r="J27">
        <v>4.2754463127717299</v>
      </c>
      <c r="K27">
        <v>57778.517</v>
      </c>
      <c r="M27">
        <v>0.25118864299999999</v>
      </c>
      <c r="N27">
        <v>2.6218756999999999E-2</v>
      </c>
      <c r="O27">
        <v>25.427088960268701</v>
      </c>
      <c r="P27">
        <v>25.427088960268701</v>
      </c>
      <c r="Q27">
        <v>464016.56</v>
      </c>
      <c r="S27">
        <v>0.25118864299999999</v>
      </c>
      <c r="T27">
        <v>0.56151541999999999</v>
      </c>
      <c r="U27">
        <v>1.1872633287019401</v>
      </c>
      <c r="V27">
        <v>1.1872633287019401</v>
      </c>
      <c r="W27">
        <v>2096.1893</v>
      </c>
      <c r="Y27">
        <v>0.25118864299999999</v>
      </c>
      <c r="Z27">
        <v>0.11573493</v>
      </c>
      <c r="AA27">
        <v>5.7602891941669396</v>
      </c>
      <c r="AB27">
        <v>5.7602891941669396</v>
      </c>
      <c r="AC27">
        <v>32503.918000000001</v>
      </c>
      <c r="AE27">
        <v>0.25118864299999999</v>
      </c>
      <c r="AF27">
        <v>0.36103217999999998</v>
      </c>
      <c r="AG27">
        <v>1.8465574638434401</v>
      </c>
      <c r="AH27">
        <v>1.8465574638434401</v>
      </c>
      <c r="AI27">
        <v>5064.8941999999997</v>
      </c>
    </row>
    <row r="28" spans="1:35" x14ac:dyDescent="0.15">
      <c r="A28">
        <v>0.31622776600000002</v>
      </c>
      <c r="B28">
        <v>0.68282432999999998</v>
      </c>
      <c r="C28">
        <v>0.97633701286927899</v>
      </c>
      <c r="D28">
        <v>0.97633701286927899</v>
      </c>
      <c r="E28">
        <v>429.55990000000003</v>
      </c>
      <c r="G28">
        <v>0.31622776600000002</v>
      </c>
      <c r="H28">
        <v>0.15591332999999999</v>
      </c>
      <c r="I28">
        <v>4.2758798536768303</v>
      </c>
      <c r="J28">
        <v>4.2758798536768303</v>
      </c>
      <c r="K28">
        <v>58942.069000000003</v>
      </c>
      <c r="M28">
        <v>0.31622776600000002</v>
      </c>
      <c r="N28">
        <v>2.5410821E-2</v>
      </c>
      <c r="O28">
        <v>26.2355421993908</v>
      </c>
      <c r="P28">
        <v>26.2355421993908</v>
      </c>
      <c r="Q28">
        <v>488321.9</v>
      </c>
      <c r="S28">
        <v>0.31622776600000002</v>
      </c>
      <c r="T28">
        <v>0.56104542000000002</v>
      </c>
      <c r="U28">
        <v>1.18825792511891</v>
      </c>
      <c r="V28">
        <v>1.18825792511891</v>
      </c>
      <c r="W28">
        <v>2040.1596</v>
      </c>
      <c r="Y28">
        <v>0.31622776600000002</v>
      </c>
      <c r="Z28">
        <v>0.11185889</v>
      </c>
      <c r="AA28">
        <v>5.9598898814986097</v>
      </c>
      <c r="AB28">
        <v>5.9598898814986097</v>
      </c>
      <c r="AC28">
        <v>32633.482</v>
      </c>
      <c r="AE28">
        <v>0.31622776600000002</v>
      </c>
      <c r="AF28">
        <v>0.34811588999999998</v>
      </c>
      <c r="AG28">
        <v>1.9150710605789001</v>
      </c>
      <c r="AH28">
        <v>1.9150710605789001</v>
      </c>
      <c r="AI28">
        <v>5103.8208999999997</v>
      </c>
    </row>
    <row r="29" spans="1:35" x14ac:dyDescent="0.15">
      <c r="A29">
        <v>0.39810717099999998</v>
      </c>
      <c r="B29">
        <v>0.68028805000000003</v>
      </c>
      <c r="C29">
        <v>0.97997703570813399</v>
      </c>
      <c r="D29">
        <v>0.97997703570813399</v>
      </c>
      <c r="E29">
        <v>360.90893</v>
      </c>
      <c r="G29">
        <v>0.39810717099999998</v>
      </c>
      <c r="H29">
        <v>0.15591616</v>
      </c>
      <c r="I29">
        <v>4.2758022431200597</v>
      </c>
      <c r="J29">
        <v>4.2758022431200597</v>
      </c>
      <c r="K29">
        <v>60120.599000000002</v>
      </c>
      <c r="M29">
        <v>0.39810717099999998</v>
      </c>
      <c r="N29">
        <v>2.4672612E-2</v>
      </c>
      <c r="O29">
        <v>27.020514352783799</v>
      </c>
      <c r="P29">
        <v>27.020514352783799</v>
      </c>
      <c r="Q29">
        <v>487946.56</v>
      </c>
      <c r="S29">
        <v>0.39810717099999998</v>
      </c>
      <c r="T29">
        <v>0.56068417999999998</v>
      </c>
      <c r="U29">
        <v>1.1890235010138299</v>
      </c>
      <c r="V29">
        <v>1.1890235010138299</v>
      </c>
      <c r="W29">
        <v>1984.3918000000001</v>
      </c>
      <c r="Y29">
        <v>0.39810717099999998</v>
      </c>
      <c r="Z29">
        <v>0.10829846999999999</v>
      </c>
      <c r="AA29">
        <v>6.1558271937421303</v>
      </c>
      <c r="AB29">
        <v>6.1558271937421303</v>
      </c>
      <c r="AC29">
        <v>34383.892</v>
      </c>
      <c r="AE29">
        <v>0.39810717099999998</v>
      </c>
      <c r="AF29">
        <v>0.33619795000000002</v>
      </c>
      <c r="AG29">
        <v>1.98295874994677</v>
      </c>
      <c r="AH29">
        <v>1.98295874994677</v>
      </c>
      <c r="AI29">
        <v>5133.1962999999996</v>
      </c>
    </row>
    <row r="30" spans="1:35" x14ac:dyDescent="0.15">
      <c r="A30">
        <v>0.50118723399999998</v>
      </c>
      <c r="B30">
        <v>0.67791414000000005</v>
      </c>
      <c r="C30">
        <v>0.98340870521843204</v>
      </c>
      <c r="D30">
        <v>0.98340870521843204</v>
      </c>
      <c r="E30">
        <v>287.72768000000002</v>
      </c>
      <c r="G30">
        <v>0.50118723399999998</v>
      </c>
      <c r="H30">
        <v>0.15591442999999999</v>
      </c>
      <c r="I30">
        <v>4.2758496866945999</v>
      </c>
      <c r="J30">
        <v>4.2758496866945999</v>
      </c>
      <c r="K30">
        <v>58332.093000000001</v>
      </c>
      <c r="M30">
        <v>0.50118723399999998</v>
      </c>
      <c r="N30">
        <v>2.3998785000000002E-2</v>
      </c>
      <c r="O30">
        <v>27.779184098972799</v>
      </c>
      <c r="P30">
        <v>27.779184098972799</v>
      </c>
      <c r="Q30">
        <v>511652.56</v>
      </c>
      <c r="S30">
        <v>0.50118723399999998</v>
      </c>
      <c r="T30">
        <v>0.56038237000000002</v>
      </c>
      <c r="U30">
        <v>1.1896638837275799</v>
      </c>
      <c r="V30">
        <v>1.1896638837275799</v>
      </c>
      <c r="W30">
        <v>2028.8777</v>
      </c>
      <c r="Y30">
        <v>0.50118723399999998</v>
      </c>
      <c r="Z30">
        <v>0.10502591999999999</v>
      </c>
      <c r="AA30">
        <v>6.34763938908287</v>
      </c>
      <c r="AB30">
        <v>6.34763938908287</v>
      </c>
      <c r="AC30">
        <v>34402.012999999999</v>
      </c>
      <c r="AE30">
        <v>0.50118723399999998</v>
      </c>
      <c r="AF30">
        <v>0.32523878000000001</v>
      </c>
      <c r="AG30">
        <v>2.04977606503956</v>
      </c>
      <c r="AH30">
        <v>2.04977606503956</v>
      </c>
      <c r="AI30">
        <v>5152.7093999999997</v>
      </c>
    </row>
    <row r="31" spans="1:35" x14ac:dyDescent="0.15">
      <c r="A31">
        <v>0.63095734400000003</v>
      </c>
      <c r="B31">
        <v>0.67562003000000004</v>
      </c>
      <c r="C31">
        <v>0.98674793088456303</v>
      </c>
      <c r="D31">
        <v>0.98674793088456303</v>
      </c>
      <c r="E31">
        <v>229.35988</v>
      </c>
      <c r="G31">
        <v>0.63095734400000003</v>
      </c>
      <c r="H31">
        <v>0.15590862</v>
      </c>
      <c r="I31">
        <v>4.2760090280233802</v>
      </c>
      <c r="J31">
        <v>4.2760090280233802</v>
      </c>
      <c r="K31">
        <v>59500.127999999997</v>
      </c>
      <c r="M31">
        <v>0.63095734400000003</v>
      </c>
      <c r="N31">
        <v>2.3388150999999999E-2</v>
      </c>
      <c r="O31">
        <v>28.5044622239127</v>
      </c>
      <c r="P31">
        <v>28.5044622239127</v>
      </c>
      <c r="Q31">
        <v>509365.52</v>
      </c>
      <c r="S31">
        <v>0.63095734400000003</v>
      </c>
      <c r="T31">
        <v>0.56014828000000005</v>
      </c>
      <c r="U31">
        <v>1.1901610528316999</v>
      </c>
      <c r="V31">
        <v>1.1901610528316999</v>
      </c>
      <c r="W31">
        <v>1971.6012000000001</v>
      </c>
      <c r="Y31">
        <v>0.63095734400000003</v>
      </c>
      <c r="Z31">
        <v>0.10204439</v>
      </c>
      <c r="AA31">
        <v>6.5331045309464502</v>
      </c>
      <c r="AB31">
        <v>6.5331045309464502</v>
      </c>
      <c r="AC31">
        <v>34354.597999999998</v>
      </c>
      <c r="AE31">
        <v>0.63095734400000003</v>
      </c>
      <c r="AF31">
        <v>0.31519582000000002</v>
      </c>
      <c r="AG31">
        <v>2.1150872707216299</v>
      </c>
      <c r="AH31">
        <v>2.1150872707216299</v>
      </c>
      <c r="AI31">
        <v>5162.1165000000001</v>
      </c>
    </row>
    <row r="32" spans="1:35" x14ac:dyDescent="0.15">
      <c r="A32">
        <v>0.79432823500000005</v>
      </c>
      <c r="B32">
        <v>0.67328041000000005</v>
      </c>
      <c r="C32">
        <v>0.99017683681999102</v>
      </c>
      <c r="D32">
        <v>0.99017683681999102</v>
      </c>
      <c r="E32">
        <v>173.54643999999999</v>
      </c>
      <c r="G32">
        <v>0.79432823500000005</v>
      </c>
      <c r="H32">
        <v>0.15592110000000001</v>
      </c>
      <c r="I32">
        <v>4.2756667741996903</v>
      </c>
      <c r="J32">
        <v>4.2756667741996903</v>
      </c>
      <c r="K32">
        <v>60683.794999999998</v>
      </c>
      <c r="M32">
        <v>0.79432823500000005</v>
      </c>
      <c r="N32">
        <v>2.2834658000000001E-2</v>
      </c>
      <c r="O32">
        <v>29.1953865333418</v>
      </c>
      <c r="P32">
        <v>29.1953865333418</v>
      </c>
      <c r="Q32">
        <v>532116.31000000006</v>
      </c>
      <c r="S32">
        <v>0.79432823500000005</v>
      </c>
      <c r="T32">
        <v>0.55995969000000001</v>
      </c>
      <c r="U32">
        <v>1.1905618896722101</v>
      </c>
      <c r="V32">
        <v>1.1905618896722101</v>
      </c>
      <c r="W32">
        <v>2014.0029999999999</v>
      </c>
      <c r="Y32">
        <v>0.79432823500000005</v>
      </c>
      <c r="Z32">
        <v>9.9338388E-2</v>
      </c>
      <c r="AA32">
        <v>6.7110678972027102</v>
      </c>
      <c r="AB32">
        <v>6.7110678972027102</v>
      </c>
      <c r="AC32">
        <v>34240.745000000003</v>
      </c>
      <c r="AE32">
        <v>0.79432823500000005</v>
      </c>
      <c r="AF32">
        <v>0.30602367000000003</v>
      </c>
      <c r="AG32">
        <v>2.1784807255813501</v>
      </c>
      <c r="AH32">
        <v>2.1784807255813501</v>
      </c>
      <c r="AI32">
        <v>5161.2786999999998</v>
      </c>
    </row>
    <row r="33" spans="1:35" x14ac:dyDescent="0.15">
      <c r="A33">
        <v>1</v>
      </c>
      <c r="B33">
        <v>0.67060951000000002</v>
      </c>
      <c r="C33">
        <v>0.99412050787449602</v>
      </c>
      <c r="D33">
        <v>0.99412050787449602</v>
      </c>
      <c r="E33">
        <v>112.20225000000001</v>
      </c>
      <c r="G33">
        <v>1</v>
      </c>
      <c r="H33">
        <v>0.15590701000000001</v>
      </c>
      <c r="I33">
        <v>4.2760531849508698</v>
      </c>
      <c r="J33">
        <v>4.2760531849508698</v>
      </c>
      <c r="K33">
        <v>58881.798000000003</v>
      </c>
      <c r="M33">
        <v>1</v>
      </c>
      <c r="N33">
        <v>2.2336917000000001E-2</v>
      </c>
      <c r="O33">
        <v>29.845957106196298</v>
      </c>
      <c r="P33">
        <v>29.845957106196298</v>
      </c>
      <c r="Q33">
        <v>527761.88</v>
      </c>
      <c r="S33">
        <v>1</v>
      </c>
      <c r="T33">
        <v>0.55981040000000004</v>
      </c>
      <c r="U33">
        <v>1.19087938821191</v>
      </c>
      <c r="V33">
        <v>1.19087938821191</v>
      </c>
      <c r="W33">
        <v>1955.9916000000001</v>
      </c>
      <c r="Y33">
        <v>1</v>
      </c>
      <c r="Z33">
        <v>9.6880295000000005E-2</v>
      </c>
      <c r="AA33">
        <v>6.8813443091463196</v>
      </c>
      <c r="AB33">
        <v>6.8813443091463196</v>
      </c>
      <c r="AC33">
        <v>35811.654000000002</v>
      </c>
      <c r="AE33">
        <v>1</v>
      </c>
      <c r="AF33">
        <v>0.29767439000000001</v>
      </c>
      <c r="AG33">
        <v>2.23958354854331</v>
      </c>
      <c r="AH33">
        <v>2.23958354854331</v>
      </c>
      <c r="AI33">
        <v>5150.1885000000002</v>
      </c>
    </row>
    <row r="34" spans="1:35" x14ac:dyDescent="0.15">
      <c r="A34">
        <v>1.258925412</v>
      </c>
      <c r="B34">
        <v>0.66668338000000005</v>
      </c>
      <c r="C34">
        <v>0.99997493062848897</v>
      </c>
      <c r="D34">
        <v>0.99997493062848897</v>
      </c>
      <c r="E34">
        <v>65.150546000000006</v>
      </c>
      <c r="G34">
        <v>1.258925412</v>
      </c>
      <c r="H34">
        <v>0.15591036999999999</v>
      </c>
      <c r="I34">
        <v>4.27596103239744</v>
      </c>
      <c r="J34">
        <v>4.27596103239744</v>
      </c>
      <c r="K34">
        <v>60055.879000000001</v>
      </c>
      <c r="M34">
        <v>1.258925412</v>
      </c>
      <c r="N34">
        <v>2.7563856000000001E-2</v>
      </c>
      <c r="O34">
        <v>24.186262860561499</v>
      </c>
      <c r="P34">
        <v>30.457533400514599</v>
      </c>
      <c r="Q34">
        <v>436210.5</v>
      </c>
      <c r="S34">
        <v>1.258925412</v>
      </c>
      <c r="T34">
        <v>0.55968932000000005</v>
      </c>
      <c r="U34">
        <v>1.19113701627658</v>
      </c>
      <c r="V34">
        <v>1.19113701627658</v>
      </c>
      <c r="W34">
        <v>1996.9443000000001</v>
      </c>
      <c r="Y34">
        <v>1.258925412</v>
      </c>
      <c r="Z34">
        <v>0.1169602</v>
      </c>
      <c r="AA34">
        <v>5.6999446535374103</v>
      </c>
      <c r="AB34">
        <v>7.0425312170602501</v>
      </c>
      <c r="AC34">
        <v>28780.41</v>
      </c>
      <c r="AE34">
        <v>1.258925412</v>
      </c>
      <c r="AF34">
        <v>0.33866349000000001</v>
      </c>
      <c r="AG34">
        <v>1.9685224015930001</v>
      </c>
      <c r="AH34">
        <v>2.2980735803102901</v>
      </c>
      <c r="AI34">
        <v>4393.4724999999999</v>
      </c>
    </row>
    <row r="35" spans="1:35" x14ac:dyDescent="0.15">
      <c r="A35">
        <v>1.584893192</v>
      </c>
      <c r="B35">
        <v>0.66668864999999999</v>
      </c>
      <c r="C35">
        <v>0.99996702608731503</v>
      </c>
      <c r="D35">
        <v>0.99996702608731503</v>
      </c>
      <c r="E35">
        <v>133.03677999999999</v>
      </c>
      <c r="G35">
        <v>1.584893192</v>
      </c>
      <c r="H35">
        <v>0.15591102000000001</v>
      </c>
      <c r="I35">
        <v>4.2759432057250804</v>
      </c>
      <c r="J35">
        <v>4.2759432057250804</v>
      </c>
      <c r="K35">
        <v>58266.523999999998</v>
      </c>
      <c r="M35">
        <v>1.584893192</v>
      </c>
      <c r="N35">
        <v>3.4079053999999998E-2</v>
      </c>
      <c r="O35">
        <v>19.562358352631101</v>
      </c>
      <c r="P35">
        <v>31.024910383190502</v>
      </c>
      <c r="Q35">
        <v>342301.04</v>
      </c>
      <c r="S35">
        <v>1.584893192</v>
      </c>
      <c r="T35">
        <v>0.55959882999999999</v>
      </c>
      <c r="U35">
        <v>1.19132962923934</v>
      </c>
      <c r="V35">
        <v>1.19132962923934</v>
      </c>
      <c r="W35">
        <v>1938.6811</v>
      </c>
      <c r="Y35">
        <v>1.584893192</v>
      </c>
      <c r="Z35">
        <v>0.14085603999999999</v>
      </c>
      <c r="AA35">
        <v>4.7329647111097701</v>
      </c>
      <c r="AB35">
        <v>7.1938146219894703</v>
      </c>
      <c r="AC35">
        <v>23186.302</v>
      </c>
      <c r="AE35">
        <v>1.584893192</v>
      </c>
      <c r="AF35">
        <v>0.38137985000000002</v>
      </c>
      <c r="AG35">
        <v>1.7480385150570099</v>
      </c>
      <c r="AH35">
        <v>2.35370579438634</v>
      </c>
      <c r="AI35">
        <v>3601.2975999999999</v>
      </c>
    </row>
    <row r="36" spans="1:35" x14ac:dyDescent="0.15">
      <c r="A36">
        <v>1.995262315</v>
      </c>
      <c r="B36">
        <v>0.66682036</v>
      </c>
      <c r="C36">
        <v>0.99976951313644102</v>
      </c>
      <c r="D36">
        <v>0.99976951313644102</v>
      </c>
      <c r="E36">
        <v>167.47619</v>
      </c>
      <c r="G36">
        <v>1.995262315</v>
      </c>
      <c r="H36">
        <v>0.15590514999999999</v>
      </c>
      <c r="I36">
        <v>4.2761041996795299</v>
      </c>
      <c r="J36">
        <v>4.2761041996795299</v>
      </c>
      <c r="K36">
        <v>59431.347999999998</v>
      </c>
      <c r="M36">
        <v>1.995262315</v>
      </c>
      <c r="N36">
        <v>4.2206471000000002E-2</v>
      </c>
      <c r="O36">
        <v>15.7953662287157</v>
      </c>
      <c r="P36">
        <v>31.552390240493601</v>
      </c>
      <c r="Q36">
        <v>281897.40000000002</v>
      </c>
      <c r="S36">
        <v>1.995262315</v>
      </c>
      <c r="T36">
        <v>0.55951697</v>
      </c>
      <c r="U36">
        <v>1.19150392644332</v>
      </c>
      <c r="V36">
        <v>1.19150392644332</v>
      </c>
      <c r="W36">
        <v>1978.5839000000001</v>
      </c>
      <c r="Y36">
        <v>1.995262315</v>
      </c>
      <c r="Z36">
        <v>0.16904658</v>
      </c>
      <c r="AA36">
        <v>3.94368621161497</v>
      </c>
      <c r="AB36">
        <v>7.3354641258565998</v>
      </c>
      <c r="AC36">
        <v>19705.460999999999</v>
      </c>
      <c r="AE36">
        <v>1.995262315</v>
      </c>
      <c r="AF36">
        <v>0.42480630000000003</v>
      </c>
      <c r="AG36">
        <v>1.5693427019954</v>
      </c>
      <c r="AH36">
        <v>2.4063433729118699</v>
      </c>
      <c r="AI36">
        <v>3137.5136000000002</v>
      </c>
    </row>
    <row r="37" spans="1:35" x14ac:dyDescent="0.15">
      <c r="A37">
        <v>2.5118864319999998</v>
      </c>
      <c r="B37">
        <v>0.66651488999999997</v>
      </c>
      <c r="C37">
        <v>1.0002277168431599</v>
      </c>
      <c r="D37">
        <v>1.0002277168431599</v>
      </c>
      <c r="E37">
        <v>180.52678</v>
      </c>
      <c r="G37">
        <v>2.5118864319999998</v>
      </c>
      <c r="H37">
        <v>0.15591727999999999</v>
      </c>
      <c r="I37">
        <v>4.2757715287661897</v>
      </c>
      <c r="J37">
        <v>4.2757715287661897</v>
      </c>
      <c r="K37">
        <v>60612.258999999998</v>
      </c>
      <c r="M37">
        <v>2.5118864319999998</v>
      </c>
      <c r="N37">
        <v>5.2368933999999999E-2</v>
      </c>
      <c r="O37">
        <v>12.7301935660303</v>
      </c>
      <c r="P37">
        <v>32.034503433479998</v>
      </c>
      <c r="Q37">
        <v>220422.41</v>
      </c>
      <c r="S37">
        <v>2.5118864319999998</v>
      </c>
      <c r="T37">
        <v>0.55946903999999997</v>
      </c>
      <c r="U37">
        <v>1.19160600319665</v>
      </c>
      <c r="V37">
        <v>1.19160600319665</v>
      </c>
      <c r="W37">
        <v>1920.3708999999999</v>
      </c>
      <c r="Y37">
        <v>2.5118864319999998</v>
      </c>
      <c r="Z37">
        <v>0.20197187</v>
      </c>
      <c r="AA37">
        <v>3.3007896924787898</v>
      </c>
      <c r="AB37">
        <v>7.4670489023036302</v>
      </c>
      <c r="AC37">
        <v>16001.8</v>
      </c>
      <c r="AE37">
        <v>2.5118864319999998</v>
      </c>
      <c r="AF37">
        <v>0.46783697000000002</v>
      </c>
      <c r="AG37">
        <v>1.42499782919393</v>
      </c>
      <c r="AH37">
        <v>2.4557888033654498</v>
      </c>
      <c r="AI37">
        <v>2764.529</v>
      </c>
    </row>
    <row r="38" spans="1:35" x14ac:dyDescent="0.15">
      <c r="A38">
        <v>3.16227766</v>
      </c>
      <c r="B38">
        <v>0.66686345000000002</v>
      </c>
      <c r="C38">
        <v>0.99970491210256995</v>
      </c>
      <c r="D38">
        <v>0.99970491210256995</v>
      </c>
      <c r="E38">
        <v>204.21051</v>
      </c>
      <c r="H38">
        <v>0.15590527000000001</v>
      </c>
      <c r="I38">
        <v>4.2761009083699797</v>
      </c>
      <c r="J38">
        <v>4.2761009083699797</v>
      </c>
      <c r="K38">
        <v>58810.658000000003</v>
      </c>
      <c r="M38">
        <v>3.16227766</v>
      </c>
      <c r="N38">
        <v>6.5081426999999997E-2</v>
      </c>
      <c r="O38">
        <v>10.2435778899972</v>
      </c>
      <c r="P38">
        <v>32.479295854909402</v>
      </c>
      <c r="Q38">
        <v>180903.29</v>
      </c>
      <c r="S38">
        <v>3.16227766</v>
      </c>
      <c r="T38">
        <v>0.55940867000000005</v>
      </c>
      <c r="U38">
        <v>1.1917345983691401</v>
      </c>
      <c r="V38">
        <v>1.1917345983691401</v>
      </c>
      <c r="W38">
        <v>1959.4760000000001</v>
      </c>
      <c r="Y38">
        <v>3.16227766</v>
      </c>
      <c r="Z38">
        <v>0.23996874000000001</v>
      </c>
      <c r="AA38">
        <v>2.7781396304646502</v>
      </c>
      <c r="AB38">
        <v>7.5881139753055198</v>
      </c>
      <c r="AC38">
        <v>13066.829</v>
      </c>
      <c r="AE38">
        <v>3.16227766</v>
      </c>
      <c r="AF38">
        <v>0.50935213999999995</v>
      </c>
      <c r="AG38">
        <v>1.3088521953921</v>
      </c>
      <c r="AH38">
        <v>2.5019957132259401</v>
      </c>
      <c r="AI38">
        <v>2463.8845999999999</v>
      </c>
    </row>
    <row r="39" spans="1:35" x14ac:dyDescent="0.15">
      <c r="A39">
        <v>3.9810717059999998</v>
      </c>
      <c r="B39">
        <v>0.66661086999999997</v>
      </c>
      <c r="C39">
        <v>1.0000837020054401</v>
      </c>
      <c r="D39">
        <v>1.0000837020054401</v>
      </c>
      <c r="E39">
        <v>208.80719999999999</v>
      </c>
      <c r="G39">
        <v>3.9810717059999998</v>
      </c>
      <c r="H39">
        <v>0.15590798</v>
      </c>
      <c r="I39">
        <v>4.2760265809785096</v>
      </c>
      <c r="J39">
        <v>4.2760265809785096</v>
      </c>
      <c r="K39">
        <v>59982.606</v>
      </c>
      <c r="M39">
        <v>3.9810717059999998</v>
      </c>
      <c r="N39">
        <v>8.1028394000000004E-2</v>
      </c>
      <c r="O39">
        <v>8.2275685566058101</v>
      </c>
      <c r="P39">
        <v>32.879448978552098</v>
      </c>
      <c r="Q39">
        <v>140969.60999999999</v>
      </c>
      <c r="S39">
        <v>3.9810717059999998</v>
      </c>
      <c r="T39">
        <v>0.55937866999999997</v>
      </c>
      <c r="U39">
        <v>1.1917985122076</v>
      </c>
      <c r="V39">
        <v>1.1917985122076</v>
      </c>
      <c r="W39">
        <v>1999.1319000000001</v>
      </c>
      <c r="Y39">
        <v>3.9810717059999998</v>
      </c>
      <c r="Z39">
        <v>0.28315071000000003</v>
      </c>
      <c r="AA39">
        <v>2.3544587497826401</v>
      </c>
      <c r="AB39">
        <v>7.6996869857358101</v>
      </c>
      <c r="AC39">
        <v>11295.017</v>
      </c>
      <c r="AE39">
        <v>3.9810717059999998</v>
      </c>
      <c r="AF39">
        <v>0.54833962999999997</v>
      </c>
      <c r="AG39">
        <v>1.21579150984704</v>
      </c>
      <c r="AH39">
        <v>2.5449982823171</v>
      </c>
      <c r="AI39">
        <v>2220.7453999999998</v>
      </c>
    </row>
    <row r="40" spans="1:35" x14ac:dyDescent="0.15">
      <c r="A40">
        <v>5.0118723359999997</v>
      </c>
      <c r="B40">
        <v>0.66645894000000006</v>
      </c>
      <c r="C40">
        <v>1.00031168711859</v>
      </c>
      <c r="D40">
        <v>1.00031168711859</v>
      </c>
      <c r="E40">
        <v>213.37313</v>
      </c>
      <c r="G40">
        <v>5.0118723359999997</v>
      </c>
      <c r="H40">
        <v>0.15591061000000001</v>
      </c>
      <c r="I40">
        <v>4.2759544502241802</v>
      </c>
      <c r="J40">
        <v>4.2759544502241802</v>
      </c>
      <c r="K40">
        <v>58194.1</v>
      </c>
      <c r="M40">
        <v>5.0118723359999997</v>
      </c>
      <c r="N40">
        <v>0.1010356</v>
      </c>
      <c r="O40">
        <v>6.5983343164851496</v>
      </c>
      <c r="P40">
        <v>33.247687786403297</v>
      </c>
      <c r="Q40">
        <v>115308.73</v>
      </c>
      <c r="S40">
        <v>5.0118723359999997</v>
      </c>
      <c r="T40">
        <v>0.55934300000000003</v>
      </c>
      <c r="U40">
        <v>1.1918745146836001</v>
      </c>
      <c r="V40">
        <v>1.1918745146836001</v>
      </c>
      <c r="W40">
        <v>1939.9689000000001</v>
      </c>
      <c r="Y40">
        <v>5.0118723359999997</v>
      </c>
      <c r="Z40">
        <v>0.33141143000000001</v>
      </c>
      <c r="AA40">
        <v>2.0115982923904201</v>
      </c>
      <c r="AB40">
        <v>7.8016292758684003</v>
      </c>
      <c r="AC40">
        <v>9362.6710999999996</v>
      </c>
      <c r="AE40">
        <v>5.0118723359999997</v>
      </c>
      <c r="AF40">
        <v>0.58398234999999998</v>
      </c>
      <c r="AG40">
        <v>1.1415870131463199</v>
      </c>
      <c r="AH40">
        <v>2.5849196529764402</v>
      </c>
      <c r="AI40">
        <v>2023.2446</v>
      </c>
    </row>
    <row r="41" spans="1:35" x14ac:dyDescent="0.15">
      <c r="A41">
        <v>6.3095734449999998</v>
      </c>
      <c r="B41">
        <v>0.66682717999999996</v>
      </c>
      <c r="C41">
        <v>0.99975928795623903</v>
      </c>
      <c r="D41">
        <v>0.99975928795623903</v>
      </c>
      <c r="E41">
        <v>229.00447</v>
      </c>
      <c r="G41">
        <v>6.3095734449999998</v>
      </c>
      <c r="H41">
        <v>0.15590393</v>
      </c>
      <c r="I41">
        <v>4.2761376616142197</v>
      </c>
      <c r="J41">
        <v>4.2761376616142197</v>
      </c>
      <c r="K41">
        <v>59357.178</v>
      </c>
      <c r="M41">
        <v>6.3095734449999998</v>
      </c>
      <c r="N41">
        <v>0.12622737000000001</v>
      </c>
      <c r="O41">
        <v>5.2814747440802003</v>
      </c>
      <c r="P41">
        <v>33.574155968049602</v>
      </c>
      <c r="Q41">
        <v>94136.258000000002</v>
      </c>
      <c r="S41">
        <v>6.3095734449999998</v>
      </c>
      <c r="T41">
        <v>0.55931865000000003</v>
      </c>
      <c r="U41">
        <v>1.1919264030739301</v>
      </c>
      <c r="V41">
        <v>1.1919264030739301</v>
      </c>
      <c r="W41">
        <v>1979.0371</v>
      </c>
      <c r="Y41">
        <v>6.3095734449999998</v>
      </c>
      <c r="Z41">
        <v>0.38432787000000002</v>
      </c>
      <c r="AA41">
        <v>1.7346300352005899</v>
      </c>
      <c r="AB41">
        <v>7.8940801597424102</v>
      </c>
      <c r="AC41">
        <v>8234.6036000000004</v>
      </c>
      <c r="AE41">
        <v>6.3095734449999998</v>
      </c>
      <c r="AF41">
        <v>0.61568478000000004</v>
      </c>
      <c r="AG41">
        <v>1.0828051761595701</v>
      </c>
      <c r="AH41">
        <v>2.6220687975310102</v>
      </c>
      <c r="AI41">
        <v>1771.1672000000001</v>
      </c>
    </row>
    <row r="42" spans="1:35" x14ac:dyDescent="0.15">
      <c r="A42">
        <v>7.9432823470000002</v>
      </c>
      <c r="B42">
        <v>0.66682151000000001</v>
      </c>
      <c r="C42">
        <v>0.99976778893450302</v>
      </c>
      <c r="D42">
        <v>0.99976778893450302</v>
      </c>
      <c r="E42">
        <v>233.79555999999999</v>
      </c>
      <c r="G42">
        <v>7.9432823470000002</v>
      </c>
      <c r="H42">
        <v>0.15591514000000001</v>
      </c>
      <c r="I42">
        <v>4.2758302155048398</v>
      </c>
      <c r="J42">
        <v>4.2758302155048398</v>
      </c>
      <c r="K42">
        <v>60536.49</v>
      </c>
      <c r="M42">
        <v>7.9432823470000002</v>
      </c>
      <c r="N42">
        <v>0.15796835000000001</v>
      </c>
      <c r="O42">
        <v>4.2202546691578799</v>
      </c>
      <c r="P42">
        <v>33.874026979058499</v>
      </c>
      <c r="Q42">
        <v>72979.252999999997</v>
      </c>
      <c r="S42">
        <v>7.9432823470000002</v>
      </c>
      <c r="T42">
        <v>0.55930630000000003</v>
      </c>
      <c r="U42">
        <v>1.19195272191046</v>
      </c>
      <c r="V42">
        <v>1.19195272191046</v>
      </c>
      <c r="W42">
        <v>1920.2817</v>
      </c>
      <c r="Y42">
        <v>7.9432823470000002</v>
      </c>
      <c r="Z42">
        <v>0.44104149999999998</v>
      </c>
      <c r="AA42">
        <v>1.51157355184641</v>
      </c>
      <c r="AB42">
        <v>7.9789328952055198</v>
      </c>
      <c r="AC42">
        <v>6961.8774999999996</v>
      </c>
      <c r="AE42">
        <v>7.9432823470000002</v>
      </c>
      <c r="AF42">
        <v>0.64310230999999995</v>
      </c>
      <c r="AG42">
        <v>1.03664169184319</v>
      </c>
      <c r="AH42">
        <v>2.6568159700159599</v>
      </c>
      <c r="AI42">
        <v>1645.2217000000001</v>
      </c>
    </row>
    <row r="43" spans="1:35" x14ac:dyDescent="0.15">
      <c r="A43">
        <v>10</v>
      </c>
      <c r="B43">
        <v>0.66685987000000002</v>
      </c>
      <c r="C43">
        <v>0.999710278962605</v>
      </c>
      <c r="D43">
        <v>0.999710278962605</v>
      </c>
      <c r="E43">
        <v>238.62049999999999</v>
      </c>
      <c r="G43">
        <v>10</v>
      </c>
      <c r="H43">
        <v>0.15590503999999999</v>
      </c>
      <c r="I43">
        <v>4.2761072167177296</v>
      </c>
      <c r="J43">
        <v>4.2761072167177296</v>
      </c>
      <c r="K43">
        <v>58736.127999999997</v>
      </c>
      <c r="M43">
        <v>10</v>
      </c>
      <c r="N43">
        <v>0.19814472999999999</v>
      </c>
      <c r="O43">
        <v>3.3645440212649902</v>
      </c>
      <c r="P43">
        <v>34.138685290938199</v>
      </c>
      <c r="Q43">
        <v>59341.798999999999</v>
      </c>
      <c r="S43">
        <v>10</v>
      </c>
      <c r="T43">
        <v>0.55928221</v>
      </c>
      <c r="U43">
        <v>1.19200406296969</v>
      </c>
      <c r="V43">
        <v>1.19200406296969</v>
      </c>
      <c r="W43">
        <v>1958.8435999999999</v>
      </c>
      <c r="Y43">
        <v>10</v>
      </c>
      <c r="Z43">
        <v>0.50046831000000003</v>
      </c>
      <c r="AA43">
        <v>1.33208567524818</v>
      </c>
      <c r="AB43">
        <v>8.0556918022300792</v>
      </c>
      <c r="AC43">
        <v>5952.3716999999997</v>
      </c>
      <c r="AE43">
        <v>10</v>
      </c>
      <c r="AF43">
        <v>0.66602644</v>
      </c>
      <c r="AG43">
        <v>1.00096126313944</v>
      </c>
      <c r="AH43">
        <v>2.68990719058946</v>
      </c>
      <c r="AI43">
        <v>1466.1371999999999</v>
      </c>
    </row>
    <row r="44" spans="1:35" x14ac:dyDescent="0.15">
      <c r="A44">
        <v>12.58925412</v>
      </c>
      <c r="B44">
        <v>0.66646740999999998</v>
      </c>
      <c r="C44">
        <v>1.0002989743589501</v>
      </c>
      <c r="D44">
        <v>1.0002989743589501</v>
      </c>
      <c r="E44">
        <v>231.75486000000001</v>
      </c>
      <c r="G44">
        <v>12.58925412</v>
      </c>
      <c r="H44">
        <v>0.15590676000000001</v>
      </c>
      <c r="I44">
        <v>4.2760600416984298</v>
      </c>
      <c r="J44">
        <v>4.2760600416984298</v>
      </c>
      <c r="K44">
        <v>59906.667999999998</v>
      </c>
      <c r="M44">
        <v>12.58925412</v>
      </c>
      <c r="N44">
        <v>0.24915926999999999</v>
      </c>
      <c r="O44">
        <v>2.6756647130434499</v>
      </c>
      <c r="P44">
        <v>34.379230258922703</v>
      </c>
      <c r="Q44">
        <v>45785.205999999998</v>
      </c>
      <c r="S44">
        <v>12.58925412</v>
      </c>
      <c r="T44">
        <v>0.55927987999999995</v>
      </c>
      <c r="U44">
        <v>1.19200902894391</v>
      </c>
      <c r="V44">
        <v>1.19200902894391</v>
      </c>
      <c r="W44">
        <v>1998.0588</v>
      </c>
      <c r="Y44">
        <v>12.58925412</v>
      </c>
      <c r="Z44">
        <v>0.56111610999999995</v>
      </c>
      <c r="AA44">
        <v>1.1881082271308601</v>
      </c>
      <c r="AB44">
        <v>8.1261332269321809</v>
      </c>
      <c r="AC44">
        <v>5414.8865999999998</v>
      </c>
      <c r="AE44">
        <v>12.58925412</v>
      </c>
      <c r="AF44">
        <v>0.66684131000000002</v>
      </c>
      <c r="AG44">
        <v>0.999738103607688</v>
      </c>
      <c r="AH44">
        <v>2.7937837552296299</v>
      </c>
      <c r="AI44">
        <v>246.68199999999999</v>
      </c>
    </row>
    <row r="45" spans="1:35" x14ac:dyDescent="0.15">
      <c r="A45">
        <v>15.84893192</v>
      </c>
      <c r="B45">
        <v>0.66656194000000002</v>
      </c>
      <c r="C45">
        <v>1.0001571146811501</v>
      </c>
      <c r="D45">
        <v>1.0001571146811501</v>
      </c>
      <c r="E45">
        <v>236.45382000000001</v>
      </c>
      <c r="G45">
        <v>15.84893192</v>
      </c>
      <c r="H45">
        <v>0.15591123000000001</v>
      </c>
      <c r="I45">
        <v>4.2759374463703903</v>
      </c>
      <c r="J45">
        <v>4.2759374463703903</v>
      </c>
      <c r="K45">
        <v>58119.55</v>
      </c>
      <c r="M45">
        <v>15.84893192</v>
      </c>
      <c r="N45">
        <v>0.31435832000000002</v>
      </c>
      <c r="O45">
        <v>2.1207221958262998</v>
      </c>
      <c r="P45">
        <v>34.594033148807902</v>
      </c>
      <c r="Q45">
        <v>37012.716999999997</v>
      </c>
      <c r="S45">
        <v>15.84893192</v>
      </c>
      <c r="T45">
        <v>0.55926262999999998</v>
      </c>
      <c r="U45">
        <v>1.1920457954908701</v>
      </c>
      <c r="V45">
        <v>1.1920457954908701</v>
      </c>
      <c r="W45">
        <v>1938.6601000000001</v>
      </c>
      <c r="Y45">
        <v>15.84893192</v>
      </c>
      <c r="Z45">
        <v>0.62128992999999999</v>
      </c>
      <c r="AA45">
        <v>1.07303633050461</v>
      </c>
      <c r="AB45">
        <v>8.1917863535511906</v>
      </c>
      <c r="AC45">
        <v>4744.6902</v>
      </c>
      <c r="AE45">
        <v>15.84893192</v>
      </c>
      <c r="AF45">
        <v>0.66650319000000002</v>
      </c>
      <c r="AG45">
        <v>1.0002452751451401</v>
      </c>
      <c r="AH45">
        <v>2.88532695558867</v>
      </c>
      <c r="AI45">
        <v>239.50226000000001</v>
      </c>
    </row>
    <row r="46" spans="1:35" x14ac:dyDescent="0.15">
      <c r="A46">
        <v>19.952623150000001</v>
      </c>
      <c r="B46">
        <v>0.66667799000000005</v>
      </c>
      <c r="C46">
        <v>0.99998301528848499</v>
      </c>
      <c r="D46">
        <v>0.99998301528848499</v>
      </c>
      <c r="E46">
        <v>241.21499</v>
      </c>
      <c r="G46">
        <v>19.952623150000001</v>
      </c>
      <c r="H46">
        <v>0.15590349000000001</v>
      </c>
      <c r="I46">
        <v>4.2761497299814604</v>
      </c>
      <c r="J46">
        <v>4.2761497299814604</v>
      </c>
      <c r="K46">
        <v>59281.347999999998</v>
      </c>
      <c r="M46">
        <v>19.952623150000001</v>
      </c>
      <c r="N46">
        <v>0.39838466</v>
      </c>
      <c r="O46">
        <v>1.67342454066044</v>
      </c>
      <c r="P46">
        <v>34.787874306441701</v>
      </c>
      <c r="Q46">
        <v>28335.591</v>
      </c>
      <c r="S46">
        <v>19.952623150000001</v>
      </c>
      <c r="T46">
        <v>0.55925557000000004</v>
      </c>
      <c r="U46">
        <v>1.1920608437868001</v>
      </c>
      <c r="V46">
        <v>1.1920608437868001</v>
      </c>
      <c r="W46">
        <v>1977.4333999999999</v>
      </c>
      <c r="Y46">
        <v>19.952623150000001</v>
      </c>
      <c r="Z46">
        <v>0.67910375000000001</v>
      </c>
      <c r="AA46">
        <v>0.98168603349144601</v>
      </c>
      <c r="AB46">
        <v>8.2550444420875202</v>
      </c>
      <c r="AC46">
        <v>4211.3942999999999</v>
      </c>
      <c r="AE46">
        <v>19.952623150000001</v>
      </c>
      <c r="AF46">
        <v>0.66665459000000005</v>
      </c>
      <c r="AG46">
        <v>1.00001811532816</v>
      </c>
      <c r="AH46">
        <v>2.9578217231602202</v>
      </c>
      <c r="AI46">
        <v>244.26994999999999</v>
      </c>
    </row>
    <row r="47" spans="1:35" x14ac:dyDescent="0.15">
      <c r="A47">
        <v>25.11886432</v>
      </c>
      <c r="B47">
        <v>0.66681084000000002</v>
      </c>
      <c r="C47">
        <v>0.99978378675827595</v>
      </c>
      <c r="D47">
        <v>0.99978378675827595</v>
      </c>
      <c r="E47">
        <v>246.04579000000001</v>
      </c>
      <c r="G47">
        <v>25.11886432</v>
      </c>
      <c r="H47">
        <v>0.15591362</v>
      </c>
      <c r="I47">
        <v>4.2758719005220103</v>
      </c>
      <c r="J47">
        <v>4.2758719005220103</v>
      </c>
      <c r="K47">
        <v>60459.423999999999</v>
      </c>
      <c r="M47">
        <v>25.11886432</v>
      </c>
      <c r="N47">
        <v>0.50798049000000001</v>
      </c>
      <c r="O47">
        <v>1.3123863608751301</v>
      </c>
      <c r="P47">
        <v>34.967703762889201</v>
      </c>
      <c r="Q47">
        <v>22665.302</v>
      </c>
      <c r="S47">
        <v>25.11886432</v>
      </c>
      <c r="T47">
        <v>0.55925564000000005</v>
      </c>
      <c r="U47">
        <v>1.1920606945808701</v>
      </c>
      <c r="V47">
        <v>1.1920606945808701</v>
      </c>
      <c r="W47">
        <v>1918.5545999999999</v>
      </c>
      <c r="Y47">
        <v>25.11886432</v>
      </c>
      <c r="Z47">
        <v>0.66688997999999999</v>
      </c>
      <c r="AA47">
        <v>0.99966514216732805</v>
      </c>
      <c r="AB47">
        <v>9.1377212011230498</v>
      </c>
      <c r="AC47">
        <v>252.98566</v>
      </c>
      <c r="AE47">
        <v>25.11886432</v>
      </c>
      <c r="AF47">
        <v>0.66681634999999995</v>
      </c>
      <c r="AG47">
        <v>0.99977552540016001</v>
      </c>
      <c r="AH47">
        <v>3.0129077535787201</v>
      </c>
      <c r="AI47">
        <v>249.11616000000001</v>
      </c>
    </row>
    <row r="48" spans="1:35" x14ac:dyDescent="0.15">
      <c r="A48">
        <v>31.622776600000002</v>
      </c>
      <c r="B48">
        <v>0.66647900000000004</v>
      </c>
      <c r="C48">
        <v>1.0002815792645601</v>
      </c>
      <c r="D48">
        <v>1.0002815792645601</v>
      </c>
      <c r="E48">
        <v>238.87501</v>
      </c>
      <c r="G48">
        <v>31.622776600000002</v>
      </c>
      <c r="H48">
        <v>0.15590535</v>
      </c>
      <c r="I48">
        <v>4.2760987141664302</v>
      </c>
      <c r="J48">
        <v>4.2760987141664302</v>
      </c>
      <c r="K48">
        <v>58660.565999999999</v>
      </c>
      <c r="M48">
        <v>31.622776600000002</v>
      </c>
      <c r="N48">
        <v>0.65360121000000004</v>
      </c>
      <c r="O48">
        <v>1.01998995177299</v>
      </c>
      <c r="P48">
        <v>35.134871256206097</v>
      </c>
      <c r="Q48">
        <v>17090.494999999999</v>
      </c>
      <c r="S48">
        <v>31.622776600000002</v>
      </c>
      <c r="T48">
        <v>0.55924218999999997</v>
      </c>
      <c r="U48">
        <v>1.1920893641208801</v>
      </c>
      <c r="V48">
        <v>1.1920893641208801</v>
      </c>
      <c r="W48">
        <v>1956.9137000000001</v>
      </c>
      <c r="Y48">
        <v>31.622776600000002</v>
      </c>
      <c r="Z48">
        <v>0.66659020999999996</v>
      </c>
      <c r="AA48">
        <v>1.00011469815416</v>
      </c>
      <c r="AB48">
        <v>9.8057890704483999</v>
      </c>
      <c r="AC48">
        <v>245.56247999999999</v>
      </c>
      <c r="AE48">
        <v>31.622776600000002</v>
      </c>
      <c r="AF48">
        <v>0.66650357000000005</v>
      </c>
      <c r="AG48">
        <v>1.0002447048658201</v>
      </c>
      <c r="AH48">
        <v>3.05132742634154</v>
      </c>
      <c r="AI48">
        <v>241.82662999999999</v>
      </c>
    </row>
    <row r="49" spans="1:35" x14ac:dyDescent="0.15">
      <c r="A49">
        <v>39.810717060000002</v>
      </c>
      <c r="B49">
        <v>0.66663331999999997</v>
      </c>
      <c r="C49">
        <v>1.00005002250213</v>
      </c>
      <c r="D49">
        <v>1.00005002250213</v>
      </c>
      <c r="E49">
        <v>243.62572</v>
      </c>
      <c r="G49">
        <v>39.810717060000002</v>
      </c>
      <c r="H49">
        <v>0.15590593</v>
      </c>
      <c r="I49">
        <v>4.2760828062580201</v>
      </c>
      <c r="J49">
        <v>4.2760828062580201</v>
      </c>
      <c r="K49">
        <v>59829.940999999999</v>
      </c>
      <c r="M49">
        <v>39.810717060000002</v>
      </c>
      <c r="N49">
        <v>0.85181565999999997</v>
      </c>
      <c r="O49">
        <v>0.78264194704599199</v>
      </c>
      <c r="P49">
        <v>35.316584864755903</v>
      </c>
      <c r="Q49">
        <v>13375.053</v>
      </c>
      <c r="S49">
        <v>39.810717060000002</v>
      </c>
      <c r="T49">
        <v>0.55924779000000002</v>
      </c>
      <c r="U49">
        <v>1.19207742719317</v>
      </c>
      <c r="V49">
        <v>1.19207742719317</v>
      </c>
      <c r="W49">
        <v>1995.9581000000001</v>
      </c>
      <c r="Y49">
        <v>39.810717060000002</v>
      </c>
      <c r="Z49">
        <v>0.66677728999999997</v>
      </c>
      <c r="AA49">
        <v>0.999834092529856</v>
      </c>
      <c r="AB49">
        <v>10.370452659719501</v>
      </c>
      <c r="AC49">
        <v>250.39400000000001</v>
      </c>
      <c r="AE49">
        <v>39.810717060000002</v>
      </c>
      <c r="AF49">
        <v>0.66667765999999995</v>
      </c>
      <c r="AG49">
        <v>0.99998351027191601</v>
      </c>
      <c r="AH49">
        <v>3.06539465551757</v>
      </c>
      <c r="AI49">
        <v>246.60498000000001</v>
      </c>
    </row>
    <row r="50" spans="1:35" x14ac:dyDescent="0.15">
      <c r="A50">
        <v>50.118723359999997</v>
      </c>
      <c r="B50">
        <v>0.66679591999999999</v>
      </c>
      <c r="C50">
        <v>0.99980615758216795</v>
      </c>
      <c r="D50">
        <v>0.99980615758216795</v>
      </c>
      <c r="E50">
        <v>248.45780999999999</v>
      </c>
      <c r="G50">
        <v>50.118723359999997</v>
      </c>
      <c r="H50">
        <v>0.15591221</v>
      </c>
      <c r="I50">
        <v>4.2759105695869897</v>
      </c>
      <c r="J50">
        <v>4.2759105695869897</v>
      </c>
      <c r="K50">
        <v>58044.38</v>
      </c>
      <c r="M50">
        <v>50.118723359999997</v>
      </c>
      <c r="O50" s="1"/>
      <c r="P50" s="1"/>
      <c r="S50">
        <v>50.118723359999997</v>
      </c>
      <c r="T50">
        <v>0.55923758999999995</v>
      </c>
      <c r="U50">
        <v>1.19209916963319</v>
      </c>
      <c r="V50">
        <v>1.19209916963319</v>
      </c>
      <c r="W50">
        <v>1936.5329999999999</v>
      </c>
      <c r="Y50">
        <v>50.118723359999997</v>
      </c>
      <c r="Z50">
        <v>0.66648034</v>
      </c>
      <c r="AA50">
        <v>1.0002795681365</v>
      </c>
      <c r="AB50">
        <v>10.809778684014701</v>
      </c>
      <c r="AC50">
        <v>243.04256000000001</v>
      </c>
      <c r="AE50">
        <v>50.118723359999997</v>
      </c>
      <c r="AF50">
        <v>0.66685623999999999</v>
      </c>
      <c r="AG50">
        <v>0.99971572083762295</v>
      </c>
      <c r="AH50">
        <v>3.0513578565062098</v>
      </c>
      <c r="AI50">
        <v>251.47066000000001</v>
      </c>
    </row>
    <row r="51" spans="1:35" x14ac:dyDescent="0.15">
      <c r="A51">
        <v>63.095734450000002</v>
      </c>
      <c r="B51">
        <v>0.66648313999999997</v>
      </c>
      <c r="C51">
        <v>1.00027536580545</v>
      </c>
      <c r="D51">
        <v>1.00027536580545</v>
      </c>
      <c r="E51">
        <v>241.18754000000001</v>
      </c>
      <c r="G51">
        <v>63.095734450000002</v>
      </c>
      <c r="H51">
        <v>0.15590335</v>
      </c>
      <c r="I51">
        <v>4.27615356993077</v>
      </c>
      <c r="J51">
        <v>4.27615356993077</v>
      </c>
      <c r="K51">
        <v>59205.042000000001</v>
      </c>
      <c r="M51">
        <v>63.095734450000002</v>
      </c>
      <c r="O51" s="1"/>
      <c r="P51" s="1"/>
      <c r="S51">
        <v>63.095734450000002</v>
      </c>
      <c r="T51">
        <v>0.55923518000000005</v>
      </c>
      <c r="U51">
        <v>1.1921043069333801</v>
      </c>
      <c r="V51">
        <v>1.1921043069333801</v>
      </c>
      <c r="W51">
        <v>1975.1818000000001</v>
      </c>
      <c r="Y51">
        <v>63.095734450000002</v>
      </c>
      <c r="Z51">
        <v>0.66666968000000004</v>
      </c>
      <c r="AA51">
        <v>0.99999548002043004</v>
      </c>
      <c r="AB51">
        <v>11.0583085776984</v>
      </c>
      <c r="AC51">
        <v>247.82088999999999</v>
      </c>
      <c r="AE51">
        <v>63.095734450000002</v>
      </c>
      <c r="AF51">
        <v>0.66655410000000004</v>
      </c>
      <c r="AG51">
        <v>1.0001688785151399</v>
      </c>
      <c r="AH51">
        <v>3.0021212164995199</v>
      </c>
      <c r="AI51">
        <v>244.09564</v>
      </c>
    </row>
    <row r="52" spans="1:35" x14ac:dyDescent="0.15">
      <c r="A52">
        <v>79.432823470000002</v>
      </c>
      <c r="B52">
        <v>0.66665635000000001</v>
      </c>
      <c r="C52">
        <v>1.0000154752394801</v>
      </c>
      <c r="D52">
        <v>1.0000154752394801</v>
      </c>
      <c r="E52">
        <v>245.95464000000001</v>
      </c>
      <c r="G52">
        <v>79.432823470000002</v>
      </c>
      <c r="H52">
        <v>0.15591232999999999</v>
      </c>
      <c r="I52">
        <v>4.2759072785755103</v>
      </c>
      <c r="J52">
        <v>4.2759072785755103</v>
      </c>
      <c r="K52">
        <v>60381.995999999999</v>
      </c>
      <c r="M52">
        <v>79.432823470000002</v>
      </c>
      <c r="O52" s="1"/>
      <c r="P52" s="1"/>
      <c r="S52">
        <v>79.432823470000002</v>
      </c>
      <c r="T52">
        <v>0.55924039000000003</v>
      </c>
      <c r="U52">
        <v>1.1920932010412699</v>
      </c>
      <c r="V52">
        <v>1.1920932010412699</v>
      </c>
      <c r="W52">
        <v>1916.3118999999999</v>
      </c>
      <c r="Y52">
        <v>79.432823470000002</v>
      </c>
      <c r="Z52">
        <v>0.66685978000000001</v>
      </c>
      <c r="AA52">
        <v>0.99971041388440995</v>
      </c>
      <c r="AB52">
        <v>11.0918952927435</v>
      </c>
      <c r="AC52">
        <v>252.69200000000001</v>
      </c>
      <c r="AE52">
        <v>79.432823470000002</v>
      </c>
      <c r="AF52">
        <v>0.66673760000000004</v>
      </c>
      <c r="AG52">
        <v>0.99989361131975596</v>
      </c>
      <c r="AH52">
        <v>2.9586153665944099</v>
      </c>
      <c r="AI52">
        <v>248.90394000000001</v>
      </c>
    </row>
    <row r="53" spans="1:35" x14ac:dyDescent="0.15">
      <c r="A53">
        <v>100</v>
      </c>
      <c r="B53">
        <v>0.66683371999999996</v>
      </c>
      <c r="C53">
        <v>0.99974948277460596</v>
      </c>
      <c r="D53">
        <v>0.99974948277460596</v>
      </c>
      <c r="E53">
        <v>250.80938</v>
      </c>
      <c r="G53">
        <v>100</v>
      </c>
      <c r="H53">
        <v>0.15590583999999999</v>
      </c>
      <c r="I53">
        <v>4.2760852747188096</v>
      </c>
      <c r="J53">
        <v>4.2760852747188096</v>
      </c>
      <c r="K53">
        <v>58584.745999999999</v>
      </c>
      <c r="M53">
        <v>100</v>
      </c>
      <c r="O53" s="1"/>
      <c r="P53" s="1"/>
      <c r="S53">
        <v>100</v>
      </c>
      <c r="T53">
        <v>0.55922952999999997</v>
      </c>
      <c r="U53">
        <v>1.1921163509850199</v>
      </c>
      <c r="V53">
        <v>1.1921163509850199</v>
      </c>
      <c r="W53">
        <v>1954.5757000000001</v>
      </c>
      <c r="Y53">
        <v>100</v>
      </c>
      <c r="Z53">
        <v>0.66656455000000003</v>
      </c>
      <c r="AA53">
        <v>1.00015319846617</v>
      </c>
      <c r="AB53">
        <v>11.0968080356238</v>
      </c>
      <c r="AC53">
        <v>245.27037999999999</v>
      </c>
      <c r="AE53">
        <v>100</v>
      </c>
      <c r="AF53">
        <v>0.66643783999999995</v>
      </c>
      <c r="AG53">
        <v>1.0003433578541501</v>
      </c>
      <c r="AH53">
        <v>2.9599461351808598</v>
      </c>
      <c r="AI53">
        <v>241.60061999999999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1:F194"/>
  <sheetViews>
    <sheetView workbookViewId="0">
      <selection activeCell="B12" sqref="B12:C27"/>
    </sheetView>
  </sheetViews>
  <sheetFormatPr baseColWidth="10" defaultRowHeight="13" x14ac:dyDescent="0.15"/>
  <sheetData>
    <row r="11" spans="1:6" x14ac:dyDescent="0.15">
      <c r="A11" t="s">
        <v>0</v>
      </c>
      <c r="B11" t="s">
        <v>102</v>
      </c>
      <c r="C11" t="s">
        <v>101</v>
      </c>
      <c r="E11" t="s">
        <v>101</v>
      </c>
      <c r="F11" t="s">
        <v>103</v>
      </c>
    </row>
    <row r="12" spans="1:6" x14ac:dyDescent="0.15">
      <c r="A12">
        <v>50.64</v>
      </c>
      <c r="B12">
        <f>A12/4.76</f>
        <v>10.638655462184875</v>
      </c>
      <c r="C12">
        <v>0.36399999999999999</v>
      </c>
      <c r="E12" s="1">
        <v>1</v>
      </c>
      <c r="F12" s="1">
        <v>0</v>
      </c>
    </row>
    <row r="13" spans="1:6" x14ac:dyDescent="0.15">
      <c r="A13">
        <v>70.841999999999999</v>
      </c>
      <c r="B13">
        <f t="shared" ref="B13:B27" si="0">A13/4.76</f>
        <v>14.882773109243697</v>
      </c>
      <c r="C13">
        <v>0.28100000000000003</v>
      </c>
      <c r="E13" s="1">
        <v>0.95122941999999999</v>
      </c>
      <c r="F13" s="1">
        <v>7.7732785999999998E-2</v>
      </c>
    </row>
    <row r="14" spans="1:6" x14ac:dyDescent="0.15">
      <c r="A14">
        <v>106.41</v>
      </c>
      <c r="B14">
        <f t="shared" si="0"/>
        <v>22.355042016806724</v>
      </c>
      <c r="C14">
        <v>0.22900000000000001</v>
      </c>
      <c r="E14" s="1">
        <v>0.90483742</v>
      </c>
      <c r="F14" s="1">
        <v>0.15204469000000001</v>
      </c>
    </row>
    <row r="15" spans="1:6" x14ac:dyDescent="0.15">
      <c r="A15">
        <v>126.62</v>
      </c>
      <c r="B15">
        <f t="shared" si="0"/>
        <v>26.600840336134457</v>
      </c>
      <c r="C15">
        <v>0.18099999999999999</v>
      </c>
      <c r="E15" s="1">
        <v>0.86070798000000004</v>
      </c>
      <c r="F15" s="1">
        <v>0.22307885</v>
      </c>
    </row>
    <row r="16" spans="1:6" x14ac:dyDescent="0.15">
      <c r="A16">
        <v>172.96100000000001</v>
      </c>
      <c r="B16">
        <f t="shared" si="0"/>
        <v>36.33634453781513</v>
      </c>
      <c r="C16">
        <v>0.14000000000000001</v>
      </c>
      <c r="E16" s="1">
        <v>0.81873074999999995</v>
      </c>
      <c r="F16" s="1">
        <v>0.29098102999999997</v>
      </c>
    </row>
    <row r="17" spans="1:6" x14ac:dyDescent="0.15">
      <c r="A17">
        <v>203.62200000000001</v>
      </c>
      <c r="B17">
        <f t="shared" si="0"/>
        <v>42.77773109243698</v>
      </c>
      <c r="C17">
        <v>0.105</v>
      </c>
      <c r="E17" s="1">
        <v>0.77880077999999997</v>
      </c>
      <c r="F17" s="1">
        <v>0.35589778</v>
      </c>
    </row>
    <row r="18" spans="1:6" x14ac:dyDescent="0.15">
      <c r="A18">
        <v>242.119</v>
      </c>
      <c r="B18">
        <f t="shared" si="0"/>
        <v>50.865336134453784</v>
      </c>
      <c r="C18">
        <v>8.3000000000000004E-2</v>
      </c>
      <c r="E18" s="1">
        <v>0.74081821999999997</v>
      </c>
      <c r="F18" s="1">
        <v>0.41797516000000001</v>
      </c>
    </row>
    <row r="19" spans="1:6" x14ac:dyDescent="0.15">
      <c r="A19">
        <v>290.11399999999998</v>
      </c>
      <c r="B19">
        <f t="shared" si="0"/>
        <v>60.948319327731092</v>
      </c>
      <c r="C19">
        <v>0.06</v>
      </c>
      <c r="E19" s="1">
        <v>0.70468808999999999</v>
      </c>
      <c r="F19" s="1">
        <v>0.47735782999999998</v>
      </c>
    </row>
    <row r="20" spans="1:6" x14ac:dyDescent="0.15">
      <c r="A20">
        <v>328.90499999999997</v>
      </c>
      <c r="B20">
        <f t="shared" si="0"/>
        <v>69.097689075630242</v>
      </c>
      <c r="C20">
        <v>4.2999999999999997E-2</v>
      </c>
      <c r="E20" s="1">
        <v>0.67032004999999995</v>
      </c>
      <c r="F20" s="1">
        <v>0.53418867000000003</v>
      </c>
    </row>
    <row r="21" spans="1:6" x14ac:dyDescent="0.15">
      <c r="A21">
        <v>365.13200000000001</v>
      </c>
      <c r="B21">
        <f t="shared" si="0"/>
        <v>76.708403361344537</v>
      </c>
      <c r="C21">
        <v>3.3000000000000002E-2</v>
      </c>
      <c r="E21" s="1">
        <v>0.63762814999999995</v>
      </c>
      <c r="F21" s="1">
        <v>0.58860864000000002</v>
      </c>
    </row>
    <row r="22" spans="1:6" x14ac:dyDescent="0.15">
      <c r="A22">
        <v>410.18</v>
      </c>
      <c r="B22">
        <f t="shared" si="0"/>
        <v>86.172268907563037</v>
      </c>
      <c r="C22">
        <v>2.3E-2</v>
      </c>
      <c r="E22" s="1">
        <v>0.60653066</v>
      </c>
      <c r="F22" s="1">
        <v>0.64075707000000004</v>
      </c>
    </row>
    <row r="23" spans="1:6" x14ac:dyDescent="0.15">
      <c r="A23">
        <v>454.81799999999998</v>
      </c>
      <c r="B23">
        <f t="shared" si="0"/>
        <v>95.55</v>
      </c>
      <c r="C23">
        <v>1.7000000000000001E-2</v>
      </c>
      <c r="E23" s="1">
        <v>0.57694981000000001</v>
      </c>
      <c r="F23" s="1">
        <v>0.69077244999999998</v>
      </c>
    </row>
    <row r="24" spans="1:6" x14ac:dyDescent="0.15">
      <c r="A24">
        <v>507.96199999999999</v>
      </c>
      <c r="B24">
        <f t="shared" si="0"/>
        <v>106.71470588235294</v>
      </c>
      <c r="C24">
        <v>8.9999999999999993E-3</v>
      </c>
      <c r="E24" s="1">
        <v>0.54881164000000004</v>
      </c>
      <c r="F24" s="1">
        <v>0.73879371999999999</v>
      </c>
    </row>
    <row r="25" spans="1:6" x14ac:dyDescent="0.15">
      <c r="A25">
        <v>546.66499999999996</v>
      </c>
      <c r="B25">
        <f t="shared" si="0"/>
        <v>114.84558823529412</v>
      </c>
      <c r="C25">
        <v>5.0000000000000001E-3</v>
      </c>
      <c r="E25" s="1">
        <v>0.52204578000000001</v>
      </c>
      <c r="F25" s="1">
        <v>0.78496242999999999</v>
      </c>
    </row>
    <row r="26" spans="1:6" x14ac:dyDescent="0.15">
      <c r="A26">
        <v>589.86800000000005</v>
      </c>
      <c r="B26">
        <f t="shared" si="0"/>
        <v>123.92184873949581</v>
      </c>
      <c r="C26">
        <v>2E-3</v>
      </c>
      <c r="E26" s="1">
        <v>0.49658530000000001</v>
      </c>
      <c r="F26" s="1">
        <v>0.82942621999999999</v>
      </c>
    </row>
    <row r="27" spans="1:6" x14ac:dyDescent="0.15">
      <c r="A27">
        <v>597.51700000000005</v>
      </c>
      <c r="B27">
        <f t="shared" si="0"/>
        <v>125.52878151260506</v>
      </c>
      <c r="C27">
        <v>1E-3</v>
      </c>
      <c r="E27" s="1">
        <v>0.47236655</v>
      </c>
      <c r="F27" s="1">
        <v>0.87234409999999996</v>
      </c>
    </row>
    <row r="28" spans="1:6" x14ac:dyDescent="0.15">
      <c r="E28" s="1">
        <v>0.44932896</v>
      </c>
      <c r="F28" s="1">
        <v>0.91389476999999997</v>
      </c>
    </row>
    <row r="29" spans="1:6" x14ac:dyDescent="0.15">
      <c r="E29" s="1">
        <v>0.42741493000000003</v>
      </c>
      <c r="F29" s="1">
        <v>0.95428961999999995</v>
      </c>
    </row>
    <row r="30" spans="1:6" x14ac:dyDescent="0.15">
      <c r="E30" s="1">
        <v>0.40656966</v>
      </c>
      <c r="F30" s="1">
        <v>0.99379293000000002</v>
      </c>
    </row>
    <row r="31" spans="1:6" x14ac:dyDescent="0.15">
      <c r="E31" s="1">
        <v>0.38674101999999999</v>
      </c>
      <c r="F31" s="1">
        <v>1.0327539999999999</v>
      </c>
    </row>
    <row r="32" spans="1:6" x14ac:dyDescent="0.15">
      <c r="E32" s="1">
        <v>0.36787944</v>
      </c>
      <c r="F32" s="1">
        <v>1.0716603</v>
      </c>
    </row>
    <row r="33" spans="5:6" x14ac:dyDescent="0.15">
      <c r="E33" s="1">
        <v>0.34993774999999999</v>
      </c>
      <c r="F33" s="1">
        <v>1.1112294</v>
      </c>
    </row>
    <row r="34" spans="5:6" x14ac:dyDescent="0.15">
      <c r="E34" s="1">
        <v>0.33287107999999999</v>
      </c>
      <c r="F34" s="1">
        <v>1.1525875000000001</v>
      </c>
    </row>
    <row r="35" spans="5:6" x14ac:dyDescent="0.15">
      <c r="E35" s="1">
        <v>0.31663677000000001</v>
      </c>
      <c r="F35" s="1">
        <v>1.1976597</v>
      </c>
    </row>
    <row r="36" spans="5:6" x14ac:dyDescent="0.15">
      <c r="E36" s="1">
        <v>0.30119421000000002</v>
      </c>
      <c r="F36" s="1">
        <v>1.2501930000000001</v>
      </c>
    </row>
    <row r="37" spans="5:6" x14ac:dyDescent="0.15">
      <c r="E37" s="1">
        <v>0.2865048</v>
      </c>
      <c r="F37" s="1">
        <v>1.3192200000000001</v>
      </c>
    </row>
    <row r="38" spans="5:6" x14ac:dyDescent="0.15">
      <c r="E38" s="1">
        <v>0.27253179</v>
      </c>
      <c r="F38" s="1">
        <v>1.4369516</v>
      </c>
    </row>
    <row r="39" spans="5:6" x14ac:dyDescent="0.15">
      <c r="E39" s="1">
        <v>0.25924026</v>
      </c>
      <c r="F39" s="1">
        <v>1.7741745</v>
      </c>
    </row>
    <row r="40" spans="5:6" x14ac:dyDescent="0.15">
      <c r="E40" s="1">
        <v>0.24659696</v>
      </c>
      <c r="F40" s="1">
        <v>2.3313571</v>
      </c>
    </row>
    <row r="41" spans="5:6" x14ac:dyDescent="0.15">
      <c r="E41" s="1">
        <v>0.23457028999999999</v>
      </c>
      <c r="F41" s="1">
        <v>2.9033071000000001</v>
      </c>
    </row>
    <row r="42" spans="5:6" x14ac:dyDescent="0.15">
      <c r="E42" s="1">
        <v>0.22313015999999999</v>
      </c>
      <c r="F42" s="1">
        <v>3.4825279</v>
      </c>
    </row>
    <row r="43" spans="5:6" x14ac:dyDescent="0.15">
      <c r="E43" s="1">
        <v>0.21224797000000001</v>
      </c>
      <c r="F43" s="1">
        <v>4.0688497999999997</v>
      </c>
    </row>
    <row r="44" spans="5:6" x14ac:dyDescent="0.15">
      <c r="E44" s="1">
        <v>0.20189652</v>
      </c>
      <c r="F44" s="1">
        <v>4.6621652999999998</v>
      </c>
    </row>
    <row r="45" spans="5:6" x14ac:dyDescent="0.15">
      <c r="E45" s="1">
        <v>0.19204990999999999</v>
      </c>
      <c r="F45" s="1">
        <v>5.2623997999999998</v>
      </c>
    </row>
    <row r="46" spans="5:6" x14ac:dyDescent="0.15">
      <c r="E46" s="1">
        <v>0.18268351999999999</v>
      </c>
      <c r="F46" s="1">
        <v>5.8695022000000003</v>
      </c>
    </row>
    <row r="47" spans="5:6" x14ac:dyDescent="0.15">
      <c r="E47" s="1">
        <v>0.17377393999999999</v>
      </c>
      <c r="F47" s="1">
        <v>6.4834388000000001</v>
      </c>
    </row>
    <row r="48" spans="5:6" x14ac:dyDescent="0.15">
      <c r="E48" s="1">
        <v>0.16529889</v>
      </c>
      <c r="F48" s="1">
        <v>7.1041878000000001</v>
      </c>
    </row>
    <row r="49" spans="5:6" x14ac:dyDescent="0.15">
      <c r="E49" s="1">
        <v>0.15723717000000001</v>
      </c>
      <c r="F49" s="1">
        <v>7.7317358</v>
      </c>
    </row>
    <row r="50" spans="5:6" x14ac:dyDescent="0.15">
      <c r="E50" s="1">
        <v>0.14956862000000001</v>
      </c>
      <c r="F50" s="1">
        <v>8.3660748999999992</v>
      </c>
    </row>
    <row r="51" spans="5:6" x14ac:dyDescent="0.15">
      <c r="E51" s="1">
        <v>0.14227407</v>
      </c>
      <c r="F51" s="1">
        <v>9.0072005999999991</v>
      </c>
    </row>
    <row r="52" spans="5:6" x14ac:dyDescent="0.15">
      <c r="E52" s="1">
        <v>0.13533528</v>
      </c>
      <c r="F52" s="1">
        <v>9.6551100999999999</v>
      </c>
    </row>
    <row r="53" spans="5:6" x14ac:dyDescent="0.15">
      <c r="E53" s="1">
        <v>0.12873490000000001</v>
      </c>
      <c r="F53" s="1">
        <v>10.309801</v>
      </c>
    </row>
    <row r="54" spans="5:6" x14ac:dyDescent="0.15">
      <c r="E54" s="1">
        <v>0.12245643</v>
      </c>
      <c r="F54" s="1">
        <v>10.971272000000001</v>
      </c>
    </row>
    <row r="55" spans="5:6" x14ac:dyDescent="0.15">
      <c r="E55" s="1">
        <v>0.11648416</v>
      </c>
      <c r="F55" s="1">
        <v>11.639517</v>
      </c>
    </row>
    <row r="56" spans="5:6" x14ac:dyDescent="0.15">
      <c r="E56" s="1">
        <v>0.11080316</v>
      </c>
      <c r="F56" s="1">
        <v>12.314532</v>
      </c>
    </row>
    <row r="57" spans="5:6" x14ac:dyDescent="0.15">
      <c r="E57" s="1">
        <v>0.10539922</v>
      </c>
      <c r="F57" s="1">
        <v>12.996309999999999</v>
      </c>
    </row>
    <row r="58" spans="5:6" x14ac:dyDescent="0.15">
      <c r="E58" s="1">
        <v>0.10025884</v>
      </c>
      <c r="F58" s="1">
        <v>13.684839</v>
      </c>
    </row>
    <row r="59" spans="5:6" x14ac:dyDescent="0.15">
      <c r="E59" s="1">
        <v>9.5369161999999993E-2</v>
      </c>
      <c r="F59" s="1">
        <v>14.380108</v>
      </c>
    </row>
    <row r="60" spans="5:6" x14ac:dyDescent="0.15">
      <c r="E60" s="1">
        <v>9.0717953000000004E-2</v>
      </c>
      <c r="F60" s="1">
        <v>15.082100000000001</v>
      </c>
    </row>
    <row r="61" spans="5:6" x14ac:dyDescent="0.15">
      <c r="E61" s="1">
        <v>8.6293586000000005E-2</v>
      </c>
      <c r="F61" s="1">
        <v>15.790796</v>
      </c>
    </row>
    <row r="62" spans="5:6" x14ac:dyDescent="0.15">
      <c r="E62" s="1">
        <v>8.2084999000000006E-2</v>
      </c>
      <c r="F62" s="1">
        <v>16.506173</v>
      </c>
    </row>
    <row r="63" spans="5:6" x14ac:dyDescent="0.15">
      <c r="E63" s="1">
        <v>7.8081665999999994E-2</v>
      </c>
      <c r="F63" s="1">
        <v>17.228206</v>
      </c>
    </row>
    <row r="64" spans="5:6" x14ac:dyDescent="0.15">
      <c r="E64" s="1">
        <v>7.4273578000000007E-2</v>
      </c>
      <c r="F64" s="1">
        <v>17.956865000000001</v>
      </c>
    </row>
    <row r="65" spans="5:6" x14ac:dyDescent="0.15">
      <c r="E65" s="1">
        <v>7.0651213000000004E-2</v>
      </c>
      <c r="F65" s="1">
        <v>18.692115000000001</v>
      </c>
    </row>
    <row r="66" spans="5:6" x14ac:dyDescent="0.15">
      <c r="E66" s="1">
        <v>6.7205512999999995E-2</v>
      </c>
      <c r="F66" s="1">
        <v>19.433920000000001</v>
      </c>
    </row>
    <row r="67" spans="5:6" x14ac:dyDescent="0.15">
      <c r="E67" s="1">
        <v>6.3927861000000002E-2</v>
      </c>
      <c r="F67" s="1">
        <v>20.182237000000001</v>
      </c>
    </row>
    <row r="68" spans="5:6" x14ac:dyDescent="0.15">
      <c r="E68" s="1">
        <v>6.0810062999999998E-2</v>
      </c>
      <c r="F68" s="1">
        <v>20.937021999999999</v>
      </c>
    </row>
    <row r="69" spans="5:6" x14ac:dyDescent="0.15">
      <c r="E69" s="1">
        <v>5.7844320999999997E-2</v>
      </c>
      <c r="F69" s="1">
        <v>21.698222999999999</v>
      </c>
    </row>
    <row r="70" spans="5:6" x14ac:dyDescent="0.15">
      <c r="E70" s="1">
        <v>5.5023219999999998E-2</v>
      </c>
      <c r="F70" s="1">
        <v>22.465788</v>
      </c>
    </row>
    <row r="71" spans="5:6" x14ac:dyDescent="0.15">
      <c r="E71" s="1">
        <v>5.2339706E-2</v>
      </c>
      <c r="F71" s="1">
        <v>23.239656</v>
      </c>
    </row>
    <row r="72" spans="5:6" x14ac:dyDescent="0.15">
      <c r="E72" s="1">
        <v>4.9787067999999997E-2</v>
      </c>
      <c r="F72" s="1">
        <v>24.019765</v>
      </c>
    </row>
    <row r="73" spans="5:6" x14ac:dyDescent="0.15">
      <c r="E73" s="1">
        <v>4.7358923999999997E-2</v>
      </c>
      <c r="F73" s="1">
        <v>24.806048000000001</v>
      </c>
    </row>
    <row r="74" spans="5:6" x14ac:dyDescent="0.15">
      <c r="E74" s="1">
        <v>4.5049202000000003E-2</v>
      </c>
      <c r="F74" s="1">
        <v>25.598431000000001</v>
      </c>
    </row>
    <row r="75" spans="5:6" x14ac:dyDescent="0.15">
      <c r="E75" s="1">
        <v>4.2852126999999997E-2</v>
      </c>
      <c r="F75" s="1">
        <v>26.396837999999999</v>
      </c>
    </row>
    <row r="76" spans="5:6" x14ac:dyDescent="0.15">
      <c r="E76" s="1">
        <v>4.0762204000000003E-2</v>
      </c>
      <c r="F76" s="1">
        <v>27.201187000000001</v>
      </c>
    </row>
    <row r="77" spans="5:6" x14ac:dyDescent="0.15">
      <c r="E77" s="1">
        <v>3.8774207999999998E-2</v>
      </c>
      <c r="F77" s="1">
        <v>28.011389999999999</v>
      </c>
    </row>
    <row r="78" spans="5:6" x14ac:dyDescent="0.15">
      <c r="E78" s="1">
        <v>3.6883167000000001E-2</v>
      </c>
      <c r="F78" s="1">
        <v>28.827356000000002</v>
      </c>
    </row>
    <row r="79" spans="5:6" x14ac:dyDescent="0.15">
      <c r="E79" s="1">
        <v>3.5084353999999998E-2</v>
      </c>
      <c r="F79" s="1">
        <v>29.648987999999999</v>
      </c>
    </row>
    <row r="80" spans="5:6" x14ac:dyDescent="0.15">
      <c r="E80" s="1">
        <v>3.3373269999999997E-2</v>
      </c>
      <c r="F80" s="1">
        <v>30.476182999999999</v>
      </c>
    </row>
    <row r="81" spans="5:6" x14ac:dyDescent="0.15">
      <c r="E81" s="1">
        <v>3.1745636000000001E-2</v>
      </c>
      <c r="F81" s="1">
        <v>31.308834000000001</v>
      </c>
    </row>
    <row r="82" spans="5:6" x14ac:dyDescent="0.15">
      <c r="E82" s="1">
        <v>3.0197383000000001E-2</v>
      </c>
      <c r="F82" s="1">
        <v>32.146828999999997</v>
      </c>
    </row>
    <row r="83" spans="5:6" x14ac:dyDescent="0.15">
      <c r="E83" s="1">
        <v>2.8724639999999999E-2</v>
      </c>
      <c r="F83" s="1">
        <v>32.990049999999997</v>
      </c>
    </row>
    <row r="84" spans="5:6" x14ac:dyDescent="0.15">
      <c r="E84" s="1">
        <v>2.7323722000000002E-2</v>
      </c>
      <c r="F84" s="1">
        <v>33.838372</v>
      </c>
    </row>
    <row r="85" spans="5:6" x14ac:dyDescent="0.15">
      <c r="E85" s="1">
        <v>2.5991129000000002E-2</v>
      </c>
      <c r="F85" s="1">
        <v>34.691665999999998</v>
      </c>
    </row>
    <row r="86" spans="5:6" x14ac:dyDescent="0.15">
      <c r="E86" s="1">
        <v>2.4723525999999999E-2</v>
      </c>
      <c r="F86" s="1">
        <v>35.549798000000003</v>
      </c>
    </row>
    <row r="87" spans="5:6" x14ac:dyDescent="0.15">
      <c r="E87" s="1">
        <v>2.3517745999999999E-2</v>
      </c>
      <c r="F87" s="1">
        <v>36.412627000000001</v>
      </c>
    </row>
    <row r="88" spans="5:6" x14ac:dyDescent="0.15">
      <c r="E88" s="1">
        <v>2.2370772000000001E-2</v>
      </c>
      <c r="F88" s="1">
        <v>37.280006999999998</v>
      </c>
    </row>
    <row r="89" spans="5:6" x14ac:dyDescent="0.15">
      <c r="E89" s="1">
        <v>2.1279736E-2</v>
      </c>
      <c r="F89" s="1">
        <v>38.151784999999997</v>
      </c>
    </row>
    <row r="90" spans="5:6" x14ac:dyDescent="0.15">
      <c r="E90" s="1">
        <v>2.0241911000000001E-2</v>
      </c>
      <c r="F90" s="1">
        <v>39.027802999999999</v>
      </c>
    </row>
    <row r="91" spans="5:6" x14ac:dyDescent="0.15">
      <c r="E91" s="1">
        <v>1.9254701999999999E-2</v>
      </c>
      <c r="F91" s="1">
        <v>39.907896000000001</v>
      </c>
    </row>
    <row r="92" spans="5:6" x14ac:dyDescent="0.15">
      <c r="E92" s="1">
        <v>1.8315639000000002E-2</v>
      </c>
      <c r="F92" s="1">
        <v>40.791893999999999</v>
      </c>
    </row>
    <row r="93" spans="5:6" x14ac:dyDescent="0.15">
      <c r="E93" s="1">
        <v>1.7422375E-2</v>
      </c>
      <c r="F93" s="1">
        <v>41.67962</v>
      </c>
    </row>
    <row r="94" spans="5:6" x14ac:dyDescent="0.15">
      <c r="E94" s="1">
        <v>1.6572674999999999E-2</v>
      </c>
      <c r="F94" s="1">
        <v>42.570889999999999</v>
      </c>
    </row>
    <row r="95" spans="5:6" x14ac:dyDescent="0.15">
      <c r="E95" s="1">
        <v>1.5764416E-2</v>
      </c>
      <c r="F95" s="1">
        <v>43.465515000000003</v>
      </c>
    </row>
    <row r="96" spans="5:6" x14ac:dyDescent="0.15">
      <c r="E96" s="1">
        <v>1.4995577E-2</v>
      </c>
      <c r="F96" s="1">
        <v>44.363298999999998</v>
      </c>
    </row>
    <row r="97" spans="5:6" x14ac:dyDescent="0.15">
      <c r="E97" s="1">
        <v>1.4264234000000001E-2</v>
      </c>
      <c r="F97" s="1">
        <v>45.264040000000001</v>
      </c>
    </row>
    <row r="98" spans="5:6" x14ac:dyDescent="0.15">
      <c r="E98" s="1">
        <v>1.3568558999999999E-2</v>
      </c>
      <c r="F98" s="1">
        <v>46.167527</v>
      </c>
    </row>
    <row r="99" spans="5:6" x14ac:dyDescent="0.15">
      <c r="E99" s="1">
        <v>1.2906813E-2</v>
      </c>
      <c r="F99" s="1">
        <v>47.073543999999998</v>
      </c>
    </row>
    <row r="100" spans="5:6" x14ac:dyDescent="0.15">
      <c r="E100" s="1">
        <v>1.2277339999999999E-2</v>
      </c>
      <c r="F100" s="1">
        <v>47.981869000000003</v>
      </c>
    </row>
    <row r="101" spans="5:6" x14ac:dyDescent="0.15">
      <c r="E101" s="1">
        <v>1.1678567000000001E-2</v>
      </c>
      <c r="F101" s="1">
        <v>48.892271000000001</v>
      </c>
    </row>
    <row r="102" spans="5:6" x14ac:dyDescent="0.15">
      <c r="E102" s="1">
        <v>1.1108997000000001E-2</v>
      </c>
      <c r="F102" s="1">
        <v>49.804513999999998</v>
      </c>
    </row>
    <row r="103" spans="5:6" x14ac:dyDescent="0.15">
      <c r="E103" s="1">
        <v>1.0567204E-2</v>
      </c>
      <c r="F103" s="1">
        <v>50.718355000000003</v>
      </c>
    </row>
    <row r="104" spans="5:6" x14ac:dyDescent="0.15">
      <c r="E104" s="1">
        <v>1.0051836E-2</v>
      </c>
      <c r="F104" s="1">
        <v>51.633541000000001</v>
      </c>
    </row>
    <row r="105" spans="5:6" x14ac:dyDescent="0.15">
      <c r="E105" s="1">
        <v>9.5616018999999993E-3</v>
      </c>
      <c r="F105" s="1">
        <v>52.549816999999997</v>
      </c>
    </row>
    <row r="106" spans="5:6" x14ac:dyDescent="0.15">
      <c r="E106" s="1">
        <v>9.0952771000000002E-3</v>
      </c>
      <c r="F106" s="1">
        <v>53.466915</v>
      </c>
    </row>
    <row r="107" spans="5:6" x14ac:dyDescent="0.15">
      <c r="E107" s="1">
        <v>8.6516952000000001E-3</v>
      </c>
      <c r="F107" s="1">
        <v>54.384565000000002</v>
      </c>
    </row>
    <row r="108" spans="5:6" x14ac:dyDescent="0.15">
      <c r="E108" s="1">
        <v>8.2297470000000008E-3</v>
      </c>
      <c r="F108" s="1">
        <v>55.302486999999999</v>
      </c>
    </row>
    <row r="109" spans="5:6" x14ac:dyDescent="0.15">
      <c r="E109" s="1">
        <v>7.8283775000000007E-3</v>
      </c>
      <c r="F109" s="1">
        <v>56.220393999999999</v>
      </c>
    </row>
    <row r="110" spans="5:6" x14ac:dyDescent="0.15">
      <c r="E110" s="1">
        <v>7.4465831000000001E-3</v>
      </c>
      <c r="F110" s="1">
        <v>57.137994999999997</v>
      </c>
    </row>
    <row r="111" spans="5:6" x14ac:dyDescent="0.15">
      <c r="E111" s="1">
        <v>7.0834089000000001E-3</v>
      </c>
      <c r="F111" s="1">
        <v>58.054986999999997</v>
      </c>
    </row>
    <row r="112" spans="5:6" x14ac:dyDescent="0.15">
      <c r="E112" s="1">
        <v>6.7379470000000002E-3</v>
      </c>
      <c r="F112" s="1">
        <v>58.971065000000003</v>
      </c>
    </row>
    <row r="113" spans="5:6" x14ac:dyDescent="0.15">
      <c r="E113" s="1">
        <v>6.4093333999999998E-3</v>
      </c>
      <c r="F113" s="1">
        <v>59.885913000000002</v>
      </c>
    </row>
    <row r="114" spans="5:6" x14ac:dyDescent="0.15">
      <c r="E114" s="1">
        <v>6.0967466000000003E-3</v>
      </c>
      <c r="F114" s="1">
        <v>60.799211</v>
      </c>
    </row>
    <row r="115" spans="5:6" x14ac:dyDescent="0.15">
      <c r="E115" s="1">
        <v>5.7994047E-3</v>
      </c>
      <c r="F115" s="1">
        <v>61.710631999999997</v>
      </c>
    </row>
    <row r="116" spans="5:6" x14ac:dyDescent="0.15">
      <c r="E116" s="1">
        <v>5.5165644E-3</v>
      </c>
      <c r="F116" s="1">
        <v>62.619843000000003</v>
      </c>
    </row>
    <row r="117" spans="5:6" x14ac:dyDescent="0.15">
      <c r="E117" s="1">
        <v>5.2475183999999998E-3</v>
      </c>
      <c r="F117" s="1">
        <v>63.526502000000001</v>
      </c>
    </row>
    <row r="118" spans="5:6" x14ac:dyDescent="0.15">
      <c r="E118" s="1">
        <v>4.9915938999999998E-3</v>
      </c>
      <c r="F118" s="1">
        <v>64.430265000000006</v>
      </c>
    </row>
    <row r="119" spans="5:6" x14ac:dyDescent="0.15">
      <c r="E119" s="1">
        <v>4.7481509999999999E-3</v>
      </c>
      <c r="F119" s="1">
        <v>65.330781000000002</v>
      </c>
    </row>
    <row r="120" spans="5:6" x14ac:dyDescent="0.15">
      <c r="E120" s="1">
        <v>4.5165808999999999E-3</v>
      </c>
      <c r="F120" s="1">
        <v>66.227692000000005</v>
      </c>
    </row>
    <row r="121" spans="5:6" x14ac:dyDescent="0.15">
      <c r="E121" s="1">
        <v>4.2963046999999997E-3</v>
      </c>
      <c r="F121" s="1">
        <v>67.120638</v>
      </c>
    </row>
    <row r="122" spans="5:6" x14ac:dyDescent="0.15">
      <c r="E122" s="1">
        <v>4.0867713999999996E-3</v>
      </c>
      <c r="F122" s="1">
        <v>68.009252000000004</v>
      </c>
    </row>
    <row r="123" spans="5:6" x14ac:dyDescent="0.15">
      <c r="E123" s="1">
        <v>3.8874572E-3</v>
      </c>
      <c r="F123" s="1">
        <v>68.893164999999996</v>
      </c>
    </row>
    <row r="124" spans="5:6" x14ac:dyDescent="0.15">
      <c r="E124" s="1">
        <v>3.6978636999999998E-3</v>
      </c>
      <c r="F124" s="1">
        <v>69.772003999999995</v>
      </c>
    </row>
    <row r="125" spans="5:6" x14ac:dyDescent="0.15">
      <c r="E125" s="1">
        <v>3.5175167999999999E-3</v>
      </c>
      <c r="F125" s="1">
        <v>70.645391000000004</v>
      </c>
    </row>
    <row r="126" spans="5:6" x14ac:dyDescent="0.15">
      <c r="E126" s="1">
        <v>3.3459655E-3</v>
      </c>
      <c r="F126" s="1">
        <v>71.512949000000006</v>
      </c>
    </row>
    <row r="127" spans="5:6" x14ac:dyDescent="0.15">
      <c r="E127" s="1">
        <v>3.1827807999999999E-3</v>
      </c>
      <c r="F127" s="1">
        <v>72.374297999999996</v>
      </c>
    </row>
    <row r="128" spans="5:6" x14ac:dyDescent="0.15">
      <c r="E128" s="1">
        <v>3.0275546999999998E-3</v>
      </c>
      <c r="F128" s="1">
        <v>73.229056999999997</v>
      </c>
    </row>
    <row r="129" spans="5:6" x14ac:dyDescent="0.15">
      <c r="E129" s="1">
        <v>2.8798992000000001E-3</v>
      </c>
      <c r="F129" s="1">
        <v>74.076843999999994</v>
      </c>
    </row>
    <row r="130" spans="5:6" x14ac:dyDescent="0.15">
      <c r="E130" s="1">
        <v>2.7394448E-3</v>
      </c>
      <c r="F130" s="1">
        <v>74.917277999999996</v>
      </c>
    </row>
    <row r="131" spans="5:6" x14ac:dyDescent="0.15">
      <c r="E131" s="1">
        <v>2.6058405000000001E-3</v>
      </c>
      <c r="F131" s="1">
        <v>75.749981000000005</v>
      </c>
    </row>
    <row r="132" spans="5:6" x14ac:dyDescent="0.15">
      <c r="E132" s="1">
        <v>2.4787521999999999E-3</v>
      </c>
      <c r="F132" s="1">
        <v>76.574577000000005</v>
      </c>
    </row>
    <row r="133" spans="5:6" x14ac:dyDescent="0.15">
      <c r="E133" s="1">
        <v>2.3578620000000001E-3</v>
      </c>
      <c r="F133" s="1">
        <v>77.390691000000004</v>
      </c>
    </row>
    <row r="134" spans="5:6" x14ac:dyDescent="0.15">
      <c r="E134" s="1">
        <v>2.2428677000000002E-3</v>
      </c>
      <c r="F134" s="1">
        <v>78.197956000000005</v>
      </c>
    </row>
    <row r="135" spans="5:6" x14ac:dyDescent="0.15">
      <c r="E135" s="1">
        <v>2.1334817999999998E-3</v>
      </c>
      <c r="F135" s="1">
        <v>78.996008000000003</v>
      </c>
    </row>
    <row r="136" spans="5:6" x14ac:dyDescent="0.15">
      <c r="E136" s="1">
        <v>2.0294305999999998E-3</v>
      </c>
      <c r="F136" s="1">
        <v>79.784488999999994</v>
      </c>
    </row>
    <row r="137" spans="5:6" x14ac:dyDescent="0.15">
      <c r="E137" s="1">
        <v>1.9304541000000001E-3</v>
      </c>
      <c r="F137" s="1">
        <v>80.563050000000004</v>
      </c>
    </row>
    <row r="138" spans="5:6" x14ac:dyDescent="0.15">
      <c r="E138" s="1">
        <v>1.8363048E-3</v>
      </c>
      <c r="F138" s="1">
        <v>81.331350999999998</v>
      </c>
    </row>
    <row r="139" spans="5:6" x14ac:dyDescent="0.15">
      <c r="E139" s="1">
        <v>1.7467470999999999E-3</v>
      </c>
      <c r="F139" s="1">
        <v>82.089060000000003</v>
      </c>
    </row>
    <row r="140" spans="5:6" x14ac:dyDescent="0.15">
      <c r="E140" s="1">
        <v>1.6615573E-3</v>
      </c>
      <c r="F140" s="1">
        <v>82.835856000000007</v>
      </c>
    </row>
    <row r="141" spans="5:6" x14ac:dyDescent="0.15">
      <c r="E141" s="1">
        <v>1.5805222000000001E-3</v>
      </c>
      <c r="F141" s="1">
        <v>83.571431000000004</v>
      </c>
    </row>
    <row r="142" spans="5:6" x14ac:dyDescent="0.15">
      <c r="E142" s="1">
        <v>1.5034391999999999E-3</v>
      </c>
      <c r="F142" s="1">
        <v>84.295489000000003</v>
      </c>
    </row>
    <row r="143" spans="5:6" x14ac:dyDescent="0.15">
      <c r="E143" s="1">
        <v>1.4301156E-3</v>
      </c>
      <c r="F143" s="1">
        <v>85.007749000000004</v>
      </c>
    </row>
    <row r="144" spans="5:6" x14ac:dyDescent="0.15">
      <c r="E144" s="1">
        <v>1.360368E-3</v>
      </c>
      <c r="F144" s="1">
        <v>85.707943</v>
      </c>
    </row>
    <row r="145" spans="5:6" x14ac:dyDescent="0.15">
      <c r="E145" s="1">
        <v>1.2940221E-3</v>
      </c>
      <c r="F145" s="1">
        <v>86.395820000000001</v>
      </c>
    </row>
    <row r="146" spans="5:6" x14ac:dyDescent="0.15">
      <c r="E146" s="1">
        <v>1.2309119E-3</v>
      </c>
      <c r="F146" s="1">
        <v>87.071145999999999</v>
      </c>
    </row>
    <row r="147" spans="5:6" x14ac:dyDescent="0.15">
      <c r="E147" s="1">
        <v>1.1708796000000001E-3</v>
      </c>
      <c r="F147" s="1">
        <v>87.733705</v>
      </c>
    </row>
    <row r="148" spans="5:6" x14ac:dyDescent="0.15">
      <c r="E148" s="1">
        <v>1.1137751E-3</v>
      </c>
      <c r="F148" s="1">
        <v>88.383297999999996</v>
      </c>
    </row>
    <row r="149" spans="5:6" x14ac:dyDescent="0.15">
      <c r="E149" s="1">
        <v>1.0594557E-3</v>
      </c>
      <c r="F149" s="1">
        <v>89.019745999999998</v>
      </c>
    </row>
    <row r="150" spans="5:6" x14ac:dyDescent="0.15">
      <c r="E150" s="1">
        <v>1.0077853999999999E-3</v>
      </c>
      <c r="F150" s="1">
        <v>89.642889999999994</v>
      </c>
    </row>
    <row r="151" spans="5:6" x14ac:dyDescent="0.15">
      <c r="E151" s="1">
        <v>9.5863515000000005E-4</v>
      </c>
      <c r="F151" s="1">
        <v>90.252589999999998</v>
      </c>
    </row>
    <row r="152" spans="5:6" x14ac:dyDescent="0.15">
      <c r="E152" s="1">
        <v>9.1188197000000005E-4</v>
      </c>
      <c r="F152" s="1">
        <v>90.848729000000006</v>
      </c>
    </row>
    <row r="153" spans="5:6" x14ac:dyDescent="0.15">
      <c r="E153" s="1">
        <v>8.6740896000000003E-4</v>
      </c>
      <c r="F153" s="1">
        <v>91.431207999999998</v>
      </c>
    </row>
    <row r="154" spans="5:6" x14ac:dyDescent="0.15">
      <c r="E154" s="1">
        <v>8.2510492000000002E-4</v>
      </c>
      <c r="F154" s="1">
        <v>91.999950999999996</v>
      </c>
    </row>
    <row r="155" spans="5:6" x14ac:dyDescent="0.15">
      <c r="E155" s="1">
        <v>7.8486408000000003E-4</v>
      </c>
      <c r="F155" s="1">
        <v>92.554902999999996</v>
      </c>
    </row>
    <row r="156" spans="5:6" x14ac:dyDescent="0.15">
      <c r="E156" s="1">
        <v>7.4658581000000004E-4</v>
      </c>
      <c r="F156" s="1">
        <v>93.096029000000001</v>
      </c>
    </row>
    <row r="157" spans="5:6" x14ac:dyDescent="0.15">
      <c r="E157" s="1">
        <v>7.1017439000000001E-4</v>
      </c>
      <c r="F157" s="1">
        <v>93.623317</v>
      </c>
    </row>
    <row r="158" spans="5:6" x14ac:dyDescent="0.15">
      <c r="E158" s="1">
        <v>6.7553877999999997E-4</v>
      </c>
      <c r="F158" s="1">
        <v>94.136774000000003</v>
      </c>
    </row>
    <row r="159" spans="5:6" x14ac:dyDescent="0.15">
      <c r="E159" s="1">
        <v>6.4259235999999996E-4</v>
      </c>
      <c r="F159" s="1">
        <v>94.636430000000004</v>
      </c>
    </row>
    <row r="160" spans="5:6" x14ac:dyDescent="0.15">
      <c r="E160" s="1">
        <v>6.1125275999999995E-4</v>
      </c>
      <c r="F160" s="1">
        <v>95.122332999999998</v>
      </c>
    </row>
    <row r="161" spans="5:6" x14ac:dyDescent="0.15">
      <c r="E161" s="1">
        <v>5.8144160999999998E-4</v>
      </c>
      <c r="F161" s="1">
        <v>95.594550999999996</v>
      </c>
    </row>
    <row r="162" spans="5:6" x14ac:dyDescent="0.15">
      <c r="E162" s="1">
        <v>5.5308436999999995E-4</v>
      </c>
      <c r="F162" s="1">
        <v>96.053171000000006</v>
      </c>
    </row>
    <row r="163" spans="5:6" x14ac:dyDescent="0.15">
      <c r="E163" s="1">
        <v>5.2611013000000001E-4</v>
      </c>
      <c r="F163" s="1">
        <v>96.4983</v>
      </c>
    </row>
    <row r="164" spans="5:6" x14ac:dyDescent="0.15">
      <c r="E164" s="1">
        <v>5.0045142999999997E-4</v>
      </c>
      <c r="F164" s="1">
        <v>96.930059999999997</v>
      </c>
    </row>
    <row r="165" spans="5:6" x14ac:dyDescent="0.15">
      <c r="E165" s="1">
        <v>4.7604412999999998E-4</v>
      </c>
      <c r="F165" s="1">
        <v>97.348592999999994</v>
      </c>
    </row>
    <row r="166" spans="5:6" x14ac:dyDescent="0.15">
      <c r="E166" s="1">
        <v>4.5282717999999998E-4</v>
      </c>
      <c r="F166" s="1">
        <v>97.754052000000001</v>
      </c>
    </row>
    <row r="167" spans="5:6" x14ac:dyDescent="0.15">
      <c r="E167" s="1">
        <v>4.3074253999999997E-4</v>
      </c>
      <c r="F167" s="1">
        <v>98.146609999999995</v>
      </c>
    </row>
    <row r="168" spans="5:6" x14ac:dyDescent="0.15">
      <c r="E168" s="1">
        <v>4.0973498000000002E-4</v>
      </c>
      <c r="F168" s="1">
        <v>98.526450999999994</v>
      </c>
    </row>
    <row r="169" spans="5:6" x14ac:dyDescent="0.15">
      <c r="E169" s="1">
        <v>3.8975197E-4</v>
      </c>
      <c r="F169" s="1">
        <v>98.893772999999996</v>
      </c>
    </row>
    <row r="170" spans="5:6" x14ac:dyDescent="0.15">
      <c r="E170" s="1">
        <v>3.7074353999999999E-4</v>
      </c>
      <c r="F170" s="1">
        <v>99.248785999999996</v>
      </c>
    </row>
    <row r="171" spans="5:6" x14ac:dyDescent="0.15">
      <c r="E171" s="1">
        <v>3.5266216000000002E-4</v>
      </c>
      <c r="F171" s="1">
        <v>99.591708999999994</v>
      </c>
    </row>
    <row r="172" spans="5:6" x14ac:dyDescent="0.15">
      <c r="E172" s="1">
        <v>3.3546263E-4</v>
      </c>
      <c r="F172" s="1">
        <v>99.922774000000004</v>
      </c>
    </row>
    <row r="173" spans="5:6" x14ac:dyDescent="0.15">
      <c r="E173" s="1">
        <v>3.1910191999999998E-4</v>
      </c>
      <c r="F173" s="1">
        <v>100.24222</v>
      </c>
    </row>
    <row r="174" spans="5:6" x14ac:dyDescent="0.15">
      <c r="E174" s="1">
        <v>3.0353914000000001E-4</v>
      </c>
      <c r="F174" s="1">
        <v>100.55029</v>
      </c>
    </row>
    <row r="175" spans="5:6" x14ac:dyDescent="0.15">
      <c r="E175" s="1">
        <v>2.8873536E-4</v>
      </c>
      <c r="F175" s="1">
        <v>100.84725</v>
      </c>
    </row>
    <row r="176" spans="5:6" x14ac:dyDescent="0.15">
      <c r="E176" s="1">
        <v>2.7465356999999997E-4</v>
      </c>
      <c r="F176" s="1">
        <v>101.13334</v>
      </c>
    </row>
    <row r="177" spans="5:6" x14ac:dyDescent="0.15">
      <c r="E177" s="1">
        <v>2.6125855999999998E-4</v>
      </c>
      <c r="F177" s="1">
        <v>101.40884</v>
      </c>
    </row>
    <row r="178" spans="5:6" x14ac:dyDescent="0.15">
      <c r="E178" s="1">
        <v>2.4851682999999999E-4</v>
      </c>
      <c r="F178" s="1">
        <v>101.67401</v>
      </c>
    </row>
    <row r="179" spans="5:6" x14ac:dyDescent="0.15">
      <c r="E179" s="1">
        <v>2.3639652E-4</v>
      </c>
      <c r="F179" s="1">
        <v>101.92912</v>
      </c>
    </row>
    <row r="180" spans="5:6" x14ac:dyDescent="0.15">
      <c r="E180" s="1">
        <v>2.2486732000000001E-4</v>
      </c>
      <c r="F180" s="1">
        <v>102.17444</v>
      </c>
    </row>
    <row r="181" spans="5:6" x14ac:dyDescent="0.15">
      <c r="E181" s="1">
        <v>2.1390042E-4</v>
      </c>
      <c r="F181" s="1">
        <v>102.41025999999999</v>
      </c>
    </row>
    <row r="182" spans="5:6" x14ac:dyDescent="0.15">
      <c r="E182" s="1">
        <v>2.0346837000000001E-4</v>
      </c>
      <c r="F182" s="1">
        <v>102.63684000000001</v>
      </c>
    </row>
    <row r="183" spans="5:6" x14ac:dyDescent="0.15">
      <c r="E183" s="1">
        <v>1.935451E-4</v>
      </c>
      <c r="F183" s="1">
        <v>102.85445</v>
      </c>
    </row>
    <row r="184" spans="5:6" x14ac:dyDescent="0.15">
      <c r="E184" s="1">
        <v>1.8410578999999999E-4</v>
      </c>
      <c r="F184" s="1">
        <v>103.06338</v>
      </c>
    </row>
    <row r="185" spans="5:6" x14ac:dyDescent="0.15">
      <c r="E185" s="1">
        <v>1.7512685E-4</v>
      </c>
      <c r="F185" s="1">
        <v>103.26388</v>
      </c>
    </row>
    <row r="186" spans="5:6" x14ac:dyDescent="0.15">
      <c r="E186" s="1">
        <v>1.6658581000000001E-4</v>
      </c>
      <c r="F186" s="1">
        <v>103.45623999999999</v>
      </c>
    </row>
    <row r="187" spans="5:6" x14ac:dyDescent="0.15">
      <c r="E187" s="1">
        <v>1.5846133E-4</v>
      </c>
      <c r="F187" s="1">
        <v>103.64071</v>
      </c>
    </row>
    <row r="188" spans="5:6" x14ac:dyDescent="0.15">
      <c r="E188" s="1">
        <v>1.5073307999999999E-4</v>
      </c>
      <c r="F188" s="1">
        <v>103.81756</v>
      </c>
    </row>
    <row r="189" spans="5:6" x14ac:dyDescent="0.15">
      <c r="E189" s="1">
        <v>1.4338174000000001E-4</v>
      </c>
      <c r="F189" s="1">
        <v>103.98703999999999</v>
      </c>
    </row>
    <row r="190" spans="5:6" x14ac:dyDescent="0.15">
      <c r="E190" s="1">
        <v>1.3638893000000001E-4</v>
      </c>
      <c r="F190" s="1">
        <v>104.14942000000001</v>
      </c>
    </row>
    <row r="191" spans="5:6" x14ac:dyDescent="0.15">
      <c r="E191" s="1">
        <v>1.2973716000000001E-4</v>
      </c>
      <c r="F191" s="1">
        <v>104.30494</v>
      </c>
    </row>
    <row r="192" spans="5:6" x14ac:dyDescent="0.15">
      <c r="E192" s="1">
        <v>1.234098E-4</v>
      </c>
      <c r="F192" s="1">
        <v>104.45385</v>
      </c>
    </row>
    <row r="193" spans="5:6" x14ac:dyDescent="0.15">
      <c r="E193" s="1">
        <v>1.1739104E-4</v>
      </c>
      <c r="F193" s="1">
        <v>104.59639</v>
      </c>
    </row>
    <row r="194" spans="5:6" x14ac:dyDescent="0.15">
      <c r="E194" s="1">
        <v>1.1166581E-4</v>
      </c>
      <c r="F194" s="1">
        <v>104.7328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3"/>
  <sheetViews>
    <sheetView workbookViewId="0">
      <selection activeCell="O1" sqref="O1:S1048576"/>
    </sheetView>
  </sheetViews>
  <sheetFormatPr baseColWidth="10" defaultRowHeight="13" x14ac:dyDescent="0.15"/>
  <cols>
    <col min="16" max="18" width="0" hidden="1" customWidth="1"/>
  </cols>
  <sheetData>
    <row r="1" spans="1:19" s="7" customFormat="1" ht="28" x14ac:dyDescent="0.15">
      <c r="A1" s="6" t="s">
        <v>105</v>
      </c>
      <c r="B1" s="7" t="s">
        <v>56</v>
      </c>
      <c r="C1" s="6" t="s">
        <v>107</v>
      </c>
      <c r="D1" s="6" t="s">
        <v>113</v>
      </c>
      <c r="E1" s="6" t="s">
        <v>110</v>
      </c>
      <c r="F1" s="6" t="s">
        <v>108</v>
      </c>
      <c r="G1" s="6" t="s">
        <v>109</v>
      </c>
      <c r="H1" s="6" t="s">
        <v>106</v>
      </c>
      <c r="I1" s="6" t="s">
        <v>111</v>
      </c>
      <c r="J1" s="6" t="s">
        <v>118</v>
      </c>
      <c r="K1" s="6" t="s">
        <v>44</v>
      </c>
      <c r="L1" s="6" t="s">
        <v>112</v>
      </c>
      <c r="N1" s="6" t="s">
        <v>114</v>
      </c>
      <c r="O1" s="6" t="s">
        <v>111</v>
      </c>
      <c r="P1" s="6" t="s">
        <v>116</v>
      </c>
      <c r="Q1" s="6" t="s">
        <v>115</v>
      </c>
      <c r="R1" s="6" t="s">
        <v>119</v>
      </c>
      <c r="S1" s="6" t="s">
        <v>117</v>
      </c>
    </row>
    <row r="2" spans="1:19" x14ac:dyDescent="0.15">
      <c r="A2" s="1">
        <v>8300000</v>
      </c>
      <c r="B2">
        <v>8.1054000000000004E-6</v>
      </c>
      <c r="C2" s="1">
        <f>A2/742</f>
        <v>11185.983827493261</v>
      </c>
      <c r="D2">
        <v>150</v>
      </c>
      <c r="E2" s="1">
        <v>1</v>
      </c>
      <c r="F2" s="1">
        <v>0.04</v>
      </c>
      <c r="G2">
        <v>5.58</v>
      </c>
      <c r="H2" s="1">
        <f>1/(EXP(1)*E2)*A2/6.023E+23/(0.0000000018*C2^0.5)^3/(G2/5.8)/0.325/1.835*0.000001</f>
        <v>1.2806083121406121E-3</v>
      </c>
      <c r="I2" s="1">
        <f>B2/H2</f>
        <v>6.3293357720373899E-3</v>
      </c>
      <c r="J2" s="5">
        <v>8.35</v>
      </c>
      <c r="K2">
        <v>40</v>
      </c>
      <c r="L2" s="1">
        <v>6.0478265999999996E-4</v>
      </c>
      <c r="N2" s="1">
        <f t="shared" ref="N2:N10" si="0">L2*0.77/D2</f>
        <v>3.104550988E-6</v>
      </c>
      <c r="O2" s="1">
        <f t="shared" ref="O2:O10" si="1">N2/H2</f>
        <v>2.4242783359812495E-3</v>
      </c>
      <c r="P2">
        <v>0.85920940000000001</v>
      </c>
      <c r="Q2" s="1">
        <f>1.835*G2/5.8*0.325*(0.0000000018*C2^0.5)^3*6.023E+23/A2*1000000</f>
        <v>287.26929044877903</v>
      </c>
      <c r="R2" s="1">
        <f>K2*(0.0000000018*C2^0.5)^3/(1.381E-23*294)*G2/5.8*0.325</f>
        <v>21.253836955142191</v>
      </c>
      <c r="S2" s="1">
        <f>P2*J2/R2</f>
        <v>0.33755780215789288</v>
      </c>
    </row>
    <row r="3" spans="1:19" x14ac:dyDescent="0.15">
      <c r="A3" s="1">
        <v>8300000</v>
      </c>
      <c r="B3">
        <v>1.026E-5</v>
      </c>
      <c r="C3" s="1">
        <f t="shared" ref="C3:C33" si="2">A3/742</f>
        <v>11185.983827493261</v>
      </c>
      <c r="D3">
        <v>150</v>
      </c>
      <c r="E3" s="1">
        <v>1</v>
      </c>
      <c r="F3" s="1">
        <v>0.04</v>
      </c>
      <c r="G3">
        <v>5.58</v>
      </c>
      <c r="H3" s="1">
        <f t="shared" ref="H3:H33" si="3">1/(EXP(1)*E3)*A3/6.023E+23/(0.0000000018*C3^0.5)^3/(G3/5.8)/0.325/1.835*0.000001</f>
        <v>1.2806083121406121E-3</v>
      </c>
      <c r="I3" s="1">
        <f t="shared" ref="I3:I33" si="4">B3/H3</f>
        <v>8.0118174329587219E-3</v>
      </c>
      <c r="J3" s="5">
        <v>8.35</v>
      </c>
      <c r="K3">
        <v>40</v>
      </c>
      <c r="L3">
        <v>1.887145E-3</v>
      </c>
      <c r="N3" s="1">
        <f t="shared" si="0"/>
        <v>9.6873443333333331E-6</v>
      </c>
      <c r="O3" s="1">
        <f t="shared" si="1"/>
        <v>7.5646427104165579E-3</v>
      </c>
      <c r="P3">
        <v>1.1447746999999999</v>
      </c>
      <c r="Q3" s="1">
        <f>1.835*G3/5.8*0.325*(0.0000000018*C3^0.5)^3*6.023E+23/A3*1000000</f>
        <v>287.26929044877903</v>
      </c>
      <c r="R3" s="1">
        <f t="shared" ref="R3:R32" si="5">K3*(0.0000000018*C3^0.5)^3/(1.381E-23*294)*G3/5.8*0.325</f>
        <v>21.253836955142191</v>
      </c>
      <c r="S3" s="1">
        <f t="shared" ref="S3:S32" si="6">P3*J3/R3</f>
        <v>0.44974790976211521</v>
      </c>
    </row>
    <row r="4" spans="1:19" x14ac:dyDescent="0.15">
      <c r="A4" s="1">
        <v>8300000</v>
      </c>
      <c r="B4">
        <v>3.2421600000000001E-5</v>
      </c>
      <c r="C4" s="1">
        <f t="shared" si="2"/>
        <v>11185.983827493261</v>
      </c>
      <c r="D4">
        <v>150</v>
      </c>
      <c r="E4" s="1">
        <v>1</v>
      </c>
      <c r="F4" s="1">
        <v>0.04</v>
      </c>
      <c r="G4">
        <v>5.58</v>
      </c>
      <c r="H4" s="1">
        <f t="shared" si="3"/>
        <v>1.2806083121406121E-3</v>
      </c>
      <c r="I4" s="1">
        <f t="shared" si="4"/>
        <v>2.531734308814956E-2</v>
      </c>
      <c r="J4" s="5">
        <v>8.35</v>
      </c>
      <c r="K4">
        <v>40</v>
      </c>
      <c r="L4">
        <v>6.1398599999999996E-3</v>
      </c>
      <c r="N4" s="1">
        <f t="shared" si="0"/>
        <v>3.1517947999999996E-5</v>
      </c>
      <c r="O4" s="1">
        <f t="shared" si="1"/>
        <v>2.4611700315544487E-2</v>
      </c>
      <c r="P4">
        <v>0.91788930000000002</v>
      </c>
      <c r="Q4" s="1">
        <f t="shared" ref="Q4:Q32" si="7">1.835*G4/5.8*0.325*(0.0000000018*C4^0.5)^3*6.023E+23/A4*1000000</f>
        <v>287.26929044877903</v>
      </c>
      <c r="R4" s="1">
        <f t="shared" si="5"/>
        <v>21.253836955142191</v>
      </c>
      <c r="S4" s="1">
        <f t="shared" si="6"/>
        <v>0.3606113884837</v>
      </c>
    </row>
    <row r="5" spans="1:19" x14ac:dyDescent="0.15">
      <c r="A5" s="1">
        <v>8300000</v>
      </c>
      <c r="B5">
        <v>1.0260000000000001E-4</v>
      </c>
      <c r="C5" s="1">
        <f t="shared" si="2"/>
        <v>11185.983827493261</v>
      </c>
      <c r="D5">
        <v>150</v>
      </c>
      <c r="E5" s="1">
        <v>1</v>
      </c>
      <c r="F5" s="1">
        <v>0.04</v>
      </c>
      <c r="G5">
        <v>5.58</v>
      </c>
      <c r="H5" s="1">
        <f t="shared" si="3"/>
        <v>1.2806083121406121E-3</v>
      </c>
      <c r="I5" s="1">
        <f t="shared" si="4"/>
        <v>8.0118174329587219E-2</v>
      </c>
      <c r="J5" s="5">
        <v>8.35</v>
      </c>
      <c r="K5">
        <v>40</v>
      </c>
      <c r="L5">
        <v>1.9161207999999999E-2</v>
      </c>
      <c r="N5" s="1">
        <f t="shared" si="0"/>
        <v>9.8360867733333335E-5</v>
      </c>
      <c r="O5" s="1">
        <f t="shared" si="1"/>
        <v>7.6807925421721934E-2</v>
      </c>
      <c r="P5">
        <v>1.1506429</v>
      </c>
      <c r="Q5" s="1">
        <f t="shared" si="7"/>
        <v>287.26929044877903</v>
      </c>
      <c r="R5" s="1">
        <f t="shared" si="5"/>
        <v>21.253836955142191</v>
      </c>
      <c r="S5" s="1">
        <f t="shared" si="6"/>
        <v>0.45205335089744608</v>
      </c>
    </row>
    <row r="6" spans="1:19" x14ac:dyDescent="0.15">
      <c r="A6" s="1">
        <v>8300000</v>
      </c>
      <c r="B6">
        <v>3.24216E-4</v>
      </c>
      <c r="C6" s="1">
        <f t="shared" si="2"/>
        <v>11185.983827493261</v>
      </c>
      <c r="D6">
        <v>150</v>
      </c>
      <c r="E6" s="1">
        <v>1</v>
      </c>
      <c r="F6" s="1">
        <v>0.04</v>
      </c>
      <c r="G6">
        <v>5.58</v>
      </c>
      <c r="H6" s="1">
        <f t="shared" si="3"/>
        <v>1.2806083121406121E-3</v>
      </c>
      <c r="I6" s="1">
        <f t="shared" si="4"/>
        <v>0.25317343088149558</v>
      </c>
      <c r="J6" s="5">
        <v>8.35</v>
      </c>
      <c r="K6">
        <v>40</v>
      </c>
      <c r="L6">
        <v>4.4964799999999999E-2</v>
      </c>
      <c r="N6" s="1">
        <f t="shared" si="0"/>
        <v>2.3081930666666667E-4</v>
      </c>
      <c r="O6" s="1">
        <f t="shared" si="1"/>
        <v>0.18024192446544302</v>
      </c>
      <c r="P6">
        <v>1.7662572000000001</v>
      </c>
      <c r="Q6" s="1">
        <f t="shared" si="7"/>
        <v>287.26929044877903</v>
      </c>
      <c r="R6" s="1">
        <f t="shared" si="5"/>
        <v>21.253836955142191</v>
      </c>
      <c r="S6" s="1">
        <f t="shared" si="6"/>
        <v>0.69390988794763397</v>
      </c>
    </row>
    <row r="7" spans="1:19" x14ac:dyDescent="0.15">
      <c r="A7" s="1">
        <v>8300000</v>
      </c>
      <c r="B7">
        <v>1.026E-3</v>
      </c>
      <c r="C7" s="1">
        <f t="shared" si="2"/>
        <v>11185.983827493261</v>
      </c>
      <c r="D7">
        <v>150</v>
      </c>
      <c r="E7" s="1">
        <v>1</v>
      </c>
      <c r="F7" s="1">
        <v>0.04</v>
      </c>
      <c r="G7">
        <v>5.58</v>
      </c>
      <c r="H7" s="1">
        <f t="shared" si="3"/>
        <v>1.2806083121406121E-3</v>
      </c>
      <c r="I7" s="1">
        <f t="shared" si="4"/>
        <v>0.80118174329587211</v>
      </c>
      <c r="J7" s="5">
        <v>8.35</v>
      </c>
      <c r="K7">
        <v>40</v>
      </c>
      <c r="L7">
        <v>6.2240686000000003E-2</v>
      </c>
      <c r="N7" s="1">
        <f t="shared" si="0"/>
        <v>3.1950218813333334E-4</v>
      </c>
      <c r="O7" s="1">
        <f t="shared" si="1"/>
        <v>0.24949251469347927</v>
      </c>
      <c r="P7">
        <v>1.9171670000000001</v>
      </c>
      <c r="Q7" s="1">
        <f t="shared" si="7"/>
        <v>287.26929044877903</v>
      </c>
      <c r="R7" s="1">
        <f t="shared" si="5"/>
        <v>21.253836955142191</v>
      </c>
      <c r="S7" s="1">
        <f t="shared" si="6"/>
        <v>0.75319785711101506</v>
      </c>
    </row>
    <row r="8" spans="1:19" x14ac:dyDescent="0.15">
      <c r="A8" s="1">
        <v>5700000</v>
      </c>
      <c r="B8">
        <v>8.1054000000000004E-6</v>
      </c>
      <c r="C8" s="1">
        <f t="shared" si="2"/>
        <v>7681.9407008086255</v>
      </c>
      <c r="D8">
        <v>121.1</v>
      </c>
      <c r="E8" s="1">
        <v>1</v>
      </c>
      <c r="F8" s="1">
        <v>0.04</v>
      </c>
      <c r="G8">
        <v>5.55</v>
      </c>
      <c r="H8" s="1">
        <f t="shared" si="3"/>
        <v>1.5536713257971156E-3</v>
      </c>
      <c r="I8" s="1">
        <f t="shared" si="4"/>
        <v>5.2169335080194659E-3</v>
      </c>
      <c r="J8" s="5">
        <v>4.6399999999999997</v>
      </c>
      <c r="K8">
        <v>40</v>
      </c>
      <c r="L8">
        <v>1.5412596999999999E-3</v>
      </c>
      <c r="N8" s="1">
        <f t="shared" si="0"/>
        <v>9.7999171676300571E-6</v>
      </c>
      <c r="O8" s="1">
        <f t="shared" si="1"/>
        <v>6.3075870712888272E-3</v>
      </c>
      <c r="P8">
        <v>0.77781639999999996</v>
      </c>
      <c r="Q8" s="1">
        <f t="shared" si="7"/>
        <v>236.78073673831923</v>
      </c>
      <c r="R8" s="1">
        <f t="shared" si="5"/>
        <v>12.030710429785618</v>
      </c>
      <c r="S8" s="1">
        <f t="shared" si="6"/>
        <v>0.29998794477379104</v>
      </c>
    </row>
    <row r="9" spans="1:19" x14ac:dyDescent="0.15">
      <c r="A9" s="1">
        <v>5700000</v>
      </c>
      <c r="B9">
        <v>1.026E-5</v>
      </c>
      <c r="C9" s="1">
        <f t="shared" si="2"/>
        <v>7681.9407008086255</v>
      </c>
      <c r="D9">
        <v>121.1</v>
      </c>
      <c r="E9" s="1">
        <v>1</v>
      </c>
      <c r="F9" s="1">
        <v>0.04</v>
      </c>
      <c r="G9">
        <v>5.55</v>
      </c>
      <c r="H9" s="1">
        <f t="shared" si="3"/>
        <v>1.5536713257971156E-3</v>
      </c>
      <c r="I9" s="1">
        <f t="shared" si="4"/>
        <v>6.6037133012904628E-3</v>
      </c>
      <c r="J9" s="5">
        <v>4.6399999999999997</v>
      </c>
      <c r="K9">
        <v>40</v>
      </c>
      <c r="L9">
        <v>4.909844E-3</v>
      </c>
      <c r="N9" s="1">
        <f t="shared" si="0"/>
        <v>3.1218661271676304E-5</v>
      </c>
      <c r="O9" s="1">
        <f t="shared" si="1"/>
        <v>2.0093478429654019E-2</v>
      </c>
      <c r="P9">
        <v>0.88090460000000004</v>
      </c>
      <c r="Q9" s="1">
        <f t="shared" si="7"/>
        <v>236.78073673831923</v>
      </c>
      <c r="R9" s="1">
        <f t="shared" si="5"/>
        <v>12.030710429785618</v>
      </c>
      <c r="S9" s="1">
        <f t="shared" si="6"/>
        <v>0.33974696405961424</v>
      </c>
    </row>
    <row r="10" spans="1:19" x14ac:dyDescent="0.15">
      <c r="A10" s="1">
        <v>5700000</v>
      </c>
      <c r="B10">
        <v>3.2421600000000001E-5</v>
      </c>
      <c r="C10" s="1">
        <f t="shared" si="2"/>
        <v>7681.9407008086255</v>
      </c>
      <c r="D10">
        <v>121.1</v>
      </c>
      <c r="E10" s="1">
        <v>1</v>
      </c>
      <c r="F10" s="1">
        <v>0.04</v>
      </c>
      <c r="G10">
        <v>5.55</v>
      </c>
      <c r="H10" s="1">
        <f t="shared" si="3"/>
        <v>1.5536713257971156E-3</v>
      </c>
      <c r="I10" s="1">
        <f t="shared" si="4"/>
        <v>2.0867734032077864E-2</v>
      </c>
      <c r="J10" s="5">
        <v>4.6399999999999997</v>
      </c>
      <c r="K10">
        <v>40</v>
      </c>
      <c r="L10">
        <v>4.8807320000000001E-2</v>
      </c>
      <c r="N10" s="1">
        <f t="shared" si="0"/>
        <v>3.1033556069364165E-4</v>
      </c>
      <c r="O10" s="1">
        <f t="shared" si="1"/>
        <v>0.19974337914386306</v>
      </c>
      <c r="P10">
        <v>1.3025009999999999</v>
      </c>
      <c r="Q10" s="1">
        <f t="shared" si="7"/>
        <v>236.78073673831923</v>
      </c>
      <c r="R10" s="1">
        <f t="shared" si="5"/>
        <v>12.030710429785618</v>
      </c>
      <c r="S10" s="1">
        <f t="shared" si="6"/>
        <v>0.50234810947134512</v>
      </c>
    </row>
    <row r="11" spans="1:19" x14ac:dyDescent="0.15">
      <c r="A11" s="1">
        <v>5700000</v>
      </c>
      <c r="B11">
        <v>1.0260000000000001E-4</v>
      </c>
      <c r="C11" s="1">
        <f t="shared" si="2"/>
        <v>7681.9407008086255</v>
      </c>
      <c r="D11">
        <v>121.1</v>
      </c>
      <c r="E11" s="1">
        <v>1</v>
      </c>
      <c r="F11" s="1">
        <v>0.04</v>
      </c>
      <c r="G11">
        <v>5.55</v>
      </c>
      <c r="H11" s="1">
        <f t="shared" si="3"/>
        <v>1.5536713257971156E-3</v>
      </c>
      <c r="I11" s="1">
        <f t="shared" si="4"/>
        <v>6.6037133012904634E-2</v>
      </c>
      <c r="J11" s="5">
        <v>4.6399999999999997</v>
      </c>
      <c r="K11">
        <v>40</v>
      </c>
      <c r="N11" s="1"/>
      <c r="O11" s="1"/>
      <c r="Q11" s="1">
        <f t="shared" si="7"/>
        <v>236.78073673831923</v>
      </c>
      <c r="R11" s="1">
        <f t="shared" si="5"/>
        <v>12.030710429785618</v>
      </c>
      <c r="S11" s="1"/>
    </row>
    <row r="12" spans="1:19" x14ac:dyDescent="0.15">
      <c r="A12" s="1">
        <v>5700000</v>
      </c>
      <c r="B12">
        <v>3.24216E-4</v>
      </c>
      <c r="C12" s="1">
        <f t="shared" si="2"/>
        <v>7681.9407008086255</v>
      </c>
      <c r="D12">
        <v>121.1</v>
      </c>
      <c r="E12" s="1">
        <v>1</v>
      </c>
      <c r="F12" s="1">
        <v>0.04</v>
      </c>
      <c r="G12">
        <v>5.55</v>
      </c>
      <c r="H12" s="1">
        <f t="shared" si="3"/>
        <v>1.5536713257971156E-3</v>
      </c>
      <c r="I12" s="1">
        <f t="shared" si="4"/>
        <v>0.20867734032077861</v>
      </c>
      <c r="J12" s="5">
        <v>4.6399999999999997</v>
      </c>
      <c r="K12">
        <v>40</v>
      </c>
      <c r="N12" s="1"/>
      <c r="O12" s="1"/>
      <c r="Q12" s="1">
        <f t="shared" si="7"/>
        <v>236.78073673831923</v>
      </c>
      <c r="R12" s="1">
        <f t="shared" si="5"/>
        <v>12.030710429785618</v>
      </c>
      <c r="S12" s="1"/>
    </row>
    <row r="13" spans="1:19" x14ac:dyDescent="0.15">
      <c r="A13" s="1">
        <v>5700000</v>
      </c>
      <c r="B13">
        <v>1.026E-3</v>
      </c>
      <c r="C13" s="1">
        <f t="shared" si="2"/>
        <v>7681.9407008086255</v>
      </c>
      <c r="D13">
        <v>121.1</v>
      </c>
      <c r="E13" s="1">
        <v>1</v>
      </c>
      <c r="F13" s="1">
        <v>0.04</v>
      </c>
      <c r="G13">
        <v>5.55</v>
      </c>
      <c r="H13" s="1">
        <f t="shared" si="3"/>
        <v>1.5536713257971156E-3</v>
      </c>
      <c r="I13" s="1">
        <f t="shared" si="4"/>
        <v>0.66037133012904625</v>
      </c>
      <c r="J13" s="5">
        <v>4.6399999999999997</v>
      </c>
      <c r="K13">
        <v>40</v>
      </c>
      <c r="N13" s="1"/>
      <c r="O13" s="1"/>
      <c r="Q13" s="1">
        <f t="shared" si="7"/>
        <v>236.78073673831923</v>
      </c>
      <c r="R13" s="1">
        <f t="shared" si="5"/>
        <v>12.030710429785618</v>
      </c>
      <c r="S13" s="1"/>
    </row>
    <row r="14" spans="1:19" x14ac:dyDescent="0.15">
      <c r="A14" s="1">
        <v>2800000</v>
      </c>
      <c r="B14">
        <v>4.5144000000000003E-6</v>
      </c>
      <c r="C14" s="1">
        <f t="shared" si="2"/>
        <v>3773.5849056603774</v>
      </c>
      <c r="D14">
        <v>82.2</v>
      </c>
      <c r="E14" s="1">
        <v>1</v>
      </c>
      <c r="F14" s="1">
        <v>0.04</v>
      </c>
      <c r="G14">
        <v>5.47</v>
      </c>
      <c r="H14" s="1">
        <f t="shared" si="3"/>
        <v>2.2491748546083976E-3</v>
      </c>
      <c r="I14" s="1">
        <f t="shared" si="4"/>
        <v>2.0071360795939539E-3</v>
      </c>
      <c r="J14" s="5">
        <v>2.0099999999999998</v>
      </c>
      <c r="K14">
        <v>51</v>
      </c>
      <c r="L14">
        <v>1.5004765999999999E-2</v>
      </c>
      <c r="N14" s="1">
        <f>L14*0.77/D14</f>
        <v>1.4055559391727492E-4</v>
      </c>
      <c r="O14" s="1">
        <f>N14/H14</f>
        <v>6.249207064950358E-2</v>
      </c>
      <c r="P14">
        <v>1.4675396999999999</v>
      </c>
      <c r="Q14" s="1">
        <f t="shared" si="7"/>
        <v>163.56195714071933</v>
      </c>
      <c r="R14" s="1">
        <f t="shared" si="5"/>
        <v>5.2049979795126955</v>
      </c>
      <c r="S14" s="1">
        <f t="shared" si="6"/>
        <v>0.56671583900905997</v>
      </c>
    </row>
    <row r="15" spans="1:19" x14ac:dyDescent="0.15">
      <c r="A15" s="1">
        <v>2800000</v>
      </c>
      <c r="B15">
        <v>7.695E-6</v>
      </c>
      <c r="C15" s="1">
        <f t="shared" si="2"/>
        <v>3773.5849056603774</v>
      </c>
      <c r="D15">
        <v>82.2</v>
      </c>
      <c r="E15" s="1">
        <v>1</v>
      </c>
      <c r="F15" s="1">
        <v>0.04</v>
      </c>
      <c r="G15">
        <v>5.47</v>
      </c>
      <c r="H15" s="1">
        <f t="shared" si="3"/>
        <v>2.2491748546083976E-3</v>
      </c>
      <c r="I15" s="1">
        <f t="shared" si="4"/>
        <v>3.4212546811260573E-3</v>
      </c>
      <c r="J15" s="5">
        <v>2.0099999999999998</v>
      </c>
      <c r="K15">
        <v>51</v>
      </c>
      <c r="N15" s="1"/>
      <c r="O15" s="1"/>
      <c r="Q15" s="1">
        <f t="shared" si="7"/>
        <v>163.56195714071933</v>
      </c>
      <c r="R15" s="1">
        <f t="shared" si="5"/>
        <v>5.2049979795126955</v>
      </c>
      <c r="S15" s="1"/>
    </row>
    <row r="16" spans="1:19" x14ac:dyDescent="0.15">
      <c r="A16" s="1">
        <v>2800000</v>
      </c>
      <c r="B16">
        <v>1.4364E-5</v>
      </c>
      <c r="C16" s="1">
        <f t="shared" si="2"/>
        <v>3773.5849056603774</v>
      </c>
      <c r="D16">
        <v>82.2</v>
      </c>
      <c r="E16" s="1">
        <v>1</v>
      </c>
      <c r="F16" s="1">
        <v>0.04</v>
      </c>
      <c r="G16">
        <v>5.47</v>
      </c>
      <c r="H16" s="1">
        <f t="shared" si="3"/>
        <v>2.2491748546083976E-3</v>
      </c>
      <c r="I16" s="1">
        <f t="shared" si="4"/>
        <v>6.386342071435307E-3</v>
      </c>
      <c r="J16" s="5">
        <v>2.0099999999999998</v>
      </c>
      <c r="K16">
        <v>51</v>
      </c>
      <c r="N16" s="1"/>
      <c r="O16" s="1"/>
      <c r="Q16" s="1">
        <f t="shared" si="7"/>
        <v>163.56195714071933</v>
      </c>
      <c r="R16" s="1">
        <f t="shared" si="5"/>
        <v>5.2049979795126955</v>
      </c>
      <c r="S16" s="1"/>
    </row>
    <row r="17" spans="1:19" x14ac:dyDescent="0.15">
      <c r="A17" s="1">
        <v>2800000</v>
      </c>
      <c r="B17">
        <v>2.5650000000000003E-5</v>
      </c>
      <c r="C17" s="1">
        <f t="shared" si="2"/>
        <v>3773.5849056603774</v>
      </c>
      <c r="D17">
        <v>82.2</v>
      </c>
      <c r="E17" s="1">
        <v>1</v>
      </c>
      <c r="F17" s="1">
        <v>0.04</v>
      </c>
      <c r="G17">
        <v>5.47</v>
      </c>
      <c r="H17" s="1">
        <f t="shared" si="3"/>
        <v>2.2491748546083976E-3</v>
      </c>
      <c r="I17" s="1">
        <f t="shared" si="4"/>
        <v>1.1404182270420194E-2</v>
      </c>
      <c r="J17" s="5">
        <v>2.0099999999999998</v>
      </c>
      <c r="K17">
        <v>51</v>
      </c>
      <c r="N17" s="1"/>
      <c r="O17" s="1"/>
      <c r="Q17" s="1">
        <f t="shared" si="7"/>
        <v>163.56195714071933</v>
      </c>
      <c r="R17" s="1">
        <f t="shared" si="5"/>
        <v>5.2049979795126955</v>
      </c>
      <c r="S17" s="1"/>
    </row>
    <row r="18" spans="1:19" x14ac:dyDescent="0.15">
      <c r="A18" s="1">
        <v>2800000</v>
      </c>
      <c r="B18">
        <v>4.5143999999999993E-5</v>
      </c>
      <c r="C18" s="1">
        <f t="shared" si="2"/>
        <v>3773.5849056603774</v>
      </c>
      <c r="D18">
        <v>82.2</v>
      </c>
      <c r="E18" s="1">
        <v>1</v>
      </c>
      <c r="F18" s="1">
        <v>0.04</v>
      </c>
      <c r="G18">
        <v>5.47</v>
      </c>
      <c r="H18" s="1">
        <f t="shared" si="3"/>
        <v>2.2491748546083976E-3</v>
      </c>
      <c r="I18" s="1">
        <f t="shared" si="4"/>
        <v>2.0071360795939533E-2</v>
      </c>
      <c r="J18" s="5">
        <v>2.0099999999999998</v>
      </c>
      <c r="K18">
        <v>51</v>
      </c>
      <c r="N18" s="1"/>
      <c r="O18" s="1"/>
      <c r="Q18" s="1">
        <f t="shared" si="7"/>
        <v>163.56195714071933</v>
      </c>
      <c r="R18" s="1">
        <f t="shared" si="5"/>
        <v>5.2049979795126955</v>
      </c>
      <c r="S18" s="1"/>
    </row>
    <row r="19" spans="1:19" x14ac:dyDescent="0.15">
      <c r="A19" s="1">
        <v>2800000</v>
      </c>
      <c r="B19">
        <v>8.1054E-5</v>
      </c>
      <c r="C19" s="1">
        <f t="shared" si="2"/>
        <v>3773.5849056603774</v>
      </c>
      <c r="D19">
        <v>82.2</v>
      </c>
      <c r="E19" s="1">
        <v>1</v>
      </c>
      <c r="F19" s="1">
        <v>0.04</v>
      </c>
      <c r="G19">
        <v>5.47</v>
      </c>
      <c r="H19" s="1">
        <f t="shared" si="3"/>
        <v>2.2491748546083976E-3</v>
      </c>
      <c r="I19" s="1">
        <f t="shared" si="4"/>
        <v>3.6037215974527803E-2</v>
      </c>
      <c r="J19" s="5">
        <v>2.0099999999999998</v>
      </c>
      <c r="K19">
        <v>51</v>
      </c>
      <c r="N19" s="1"/>
      <c r="O19" s="1"/>
      <c r="Q19" s="1">
        <f t="shared" si="7"/>
        <v>163.56195714071933</v>
      </c>
      <c r="R19" s="1">
        <f t="shared" si="5"/>
        <v>5.2049979795126955</v>
      </c>
      <c r="S19" s="1"/>
    </row>
    <row r="20" spans="1:19" x14ac:dyDescent="0.15">
      <c r="A20" s="1">
        <v>2800000</v>
      </c>
      <c r="B20">
        <v>1.4774400000000003E-4</v>
      </c>
      <c r="C20" s="1">
        <f t="shared" si="2"/>
        <v>3773.5849056603774</v>
      </c>
      <c r="D20">
        <v>82.2</v>
      </c>
      <c r="E20" s="1">
        <v>1</v>
      </c>
      <c r="F20" s="1">
        <v>0.04</v>
      </c>
      <c r="G20">
        <v>5.47</v>
      </c>
      <c r="H20" s="1">
        <f t="shared" si="3"/>
        <v>2.2491748546083976E-3</v>
      </c>
      <c r="I20" s="1">
        <f t="shared" si="4"/>
        <v>6.5688089877620315E-2</v>
      </c>
      <c r="J20" s="5">
        <v>2.0099999999999998</v>
      </c>
      <c r="K20">
        <v>51</v>
      </c>
      <c r="N20" s="1"/>
      <c r="O20" s="1"/>
      <c r="Q20" s="1">
        <f t="shared" si="7"/>
        <v>163.56195714071933</v>
      </c>
      <c r="R20" s="1">
        <f t="shared" si="5"/>
        <v>5.2049979795126955</v>
      </c>
      <c r="S20" s="1"/>
    </row>
    <row r="21" spans="1:19" x14ac:dyDescent="0.15">
      <c r="A21" s="1">
        <v>1800000</v>
      </c>
      <c r="B21">
        <v>1.026E-5</v>
      </c>
      <c r="C21" s="1">
        <f t="shared" si="2"/>
        <v>2425.8760107816711</v>
      </c>
      <c r="D21">
        <v>63.7</v>
      </c>
      <c r="E21" s="1">
        <v>1</v>
      </c>
      <c r="F21" s="1">
        <v>0.04</v>
      </c>
      <c r="G21">
        <v>5.4</v>
      </c>
      <c r="H21" s="1">
        <f t="shared" si="3"/>
        <v>2.841577786891215E-3</v>
      </c>
      <c r="I21" s="1">
        <f t="shared" si="4"/>
        <v>3.6106701169088167E-3</v>
      </c>
      <c r="J21" s="5">
        <v>0.64</v>
      </c>
      <c r="K21">
        <v>33</v>
      </c>
      <c r="L21">
        <v>8.1521360000000008E-3</v>
      </c>
      <c r="N21" s="1">
        <f>L21*0.77/D21</f>
        <v>9.854230329670331E-5</v>
      </c>
      <c r="O21" s="1">
        <f>N21/H21</f>
        <v>3.4678728047248718E-2</v>
      </c>
      <c r="P21">
        <v>1.5576729</v>
      </c>
      <c r="Q21" s="1">
        <f t="shared" si="7"/>
        <v>129.46309014257719</v>
      </c>
      <c r="R21" s="1">
        <f t="shared" si="5"/>
        <v>1.7137302910464642</v>
      </c>
      <c r="S21" s="1">
        <f t="shared" si="6"/>
        <v>0.58171969137060142</v>
      </c>
    </row>
    <row r="22" spans="1:19" x14ac:dyDescent="0.15">
      <c r="A22" s="1">
        <v>1800000</v>
      </c>
      <c r="B22">
        <v>5.1300000000000007E-5</v>
      </c>
      <c r="C22" s="1">
        <f t="shared" si="2"/>
        <v>2425.8760107816711</v>
      </c>
      <c r="D22">
        <v>63.7</v>
      </c>
      <c r="E22" s="1">
        <v>1</v>
      </c>
      <c r="F22" s="1">
        <v>0.04</v>
      </c>
      <c r="G22">
        <v>5.4</v>
      </c>
      <c r="H22" s="1">
        <f t="shared" si="3"/>
        <v>2.841577786891215E-3</v>
      </c>
      <c r="I22" s="1">
        <f t="shared" si="4"/>
        <v>1.8053350584544086E-2</v>
      </c>
      <c r="J22" s="5">
        <v>0.64</v>
      </c>
      <c r="K22">
        <v>33</v>
      </c>
      <c r="L22">
        <v>0.13462516999999999</v>
      </c>
      <c r="N22" s="1">
        <f>L22*0.77/D22</f>
        <v>1.6273372197802196E-3</v>
      </c>
      <c r="O22" s="1">
        <f>N22/H22</f>
        <v>0.5726879015198747</v>
      </c>
      <c r="P22">
        <v>3.1914628</v>
      </c>
      <c r="Q22" s="1">
        <f t="shared" si="7"/>
        <v>129.46309014257719</v>
      </c>
      <c r="R22" s="1">
        <f t="shared" si="5"/>
        <v>1.7137302910464642</v>
      </c>
      <c r="S22" s="1">
        <f t="shared" si="6"/>
        <v>1.1918656060824806</v>
      </c>
    </row>
    <row r="23" spans="1:19" x14ac:dyDescent="0.15">
      <c r="A23" s="1">
        <v>1800000</v>
      </c>
      <c r="B23">
        <v>1.0260000000000001E-4</v>
      </c>
      <c r="C23" s="1">
        <f t="shared" si="2"/>
        <v>2425.8760107816711</v>
      </c>
      <c r="D23">
        <v>63.7</v>
      </c>
      <c r="E23" s="1">
        <v>1</v>
      </c>
      <c r="F23" s="1">
        <v>0.04</v>
      </c>
      <c r="G23">
        <v>5.4</v>
      </c>
      <c r="H23" s="1">
        <f t="shared" si="3"/>
        <v>2.841577786891215E-3</v>
      </c>
      <c r="I23" s="1">
        <f t="shared" si="4"/>
        <v>3.6106701169088172E-2</v>
      </c>
      <c r="J23" s="5">
        <v>0.64</v>
      </c>
      <c r="K23">
        <v>33</v>
      </c>
      <c r="N23" s="1"/>
      <c r="O23" s="1"/>
      <c r="Q23" s="1">
        <f t="shared" si="7"/>
        <v>129.46309014257719</v>
      </c>
      <c r="R23" s="1">
        <f t="shared" si="5"/>
        <v>1.7137302910464642</v>
      </c>
      <c r="S23" s="1"/>
    </row>
    <row r="24" spans="1:19" x14ac:dyDescent="0.15">
      <c r="A24" s="1">
        <v>1800000</v>
      </c>
      <c r="B24">
        <v>2.565E-4</v>
      </c>
      <c r="C24" s="1">
        <f t="shared" si="2"/>
        <v>2425.8760107816711</v>
      </c>
      <c r="D24">
        <v>63.7</v>
      </c>
      <c r="E24" s="1">
        <v>1</v>
      </c>
      <c r="F24" s="1">
        <v>0.04</v>
      </c>
      <c r="G24">
        <v>5.4</v>
      </c>
      <c r="H24" s="1">
        <f t="shared" si="3"/>
        <v>2.841577786891215E-3</v>
      </c>
      <c r="I24" s="1">
        <f t="shared" si="4"/>
        <v>9.026675292272042E-2</v>
      </c>
      <c r="J24" s="5">
        <v>0.64</v>
      </c>
      <c r="K24">
        <v>33</v>
      </c>
      <c r="N24" s="1"/>
      <c r="O24" s="1"/>
      <c r="Q24" s="1">
        <f t="shared" si="7"/>
        <v>129.46309014257719</v>
      </c>
      <c r="R24" s="1">
        <f t="shared" si="5"/>
        <v>1.7137302910464642</v>
      </c>
      <c r="S24" s="1"/>
    </row>
    <row r="25" spans="1:19" x14ac:dyDescent="0.15">
      <c r="A25" s="1">
        <v>1800000</v>
      </c>
      <c r="B25">
        <v>5.13E-4</v>
      </c>
      <c r="C25" s="1">
        <f t="shared" si="2"/>
        <v>2425.8760107816711</v>
      </c>
      <c r="D25">
        <v>63.7</v>
      </c>
      <c r="E25" s="1">
        <v>1</v>
      </c>
      <c r="F25" s="1">
        <v>0.04</v>
      </c>
      <c r="G25">
        <v>5.4</v>
      </c>
      <c r="H25" s="1">
        <f t="shared" si="3"/>
        <v>2.841577786891215E-3</v>
      </c>
      <c r="I25" s="1">
        <f t="shared" si="4"/>
        <v>0.18053350584544084</v>
      </c>
      <c r="J25" s="5">
        <v>0.64</v>
      </c>
      <c r="K25">
        <v>33</v>
      </c>
      <c r="N25" s="1"/>
      <c r="O25" s="1"/>
      <c r="Q25" s="1">
        <f t="shared" si="7"/>
        <v>129.46309014257719</v>
      </c>
      <c r="R25" s="1">
        <f t="shared" si="5"/>
        <v>1.7137302910464642</v>
      </c>
      <c r="S25" s="1"/>
    </row>
    <row r="26" spans="1:19" x14ac:dyDescent="0.15">
      <c r="A26" s="1">
        <v>1800000</v>
      </c>
      <c r="B26">
        <v>7.695E-4</v>
      </c>
      <c r="C26" s="1">
        <f t="shared" si="2"/>
        <v>2425.8760107816711</v>
      </c>
      <c r="D26">
        <v>63.7</v>
      </c>
      <c r="E26" s="1">
        <v>1</v>
      </c>
      <c r="F26" s="1">
        <v>0.04</v>
      </c>
      <c r="G26">
        <v>5.4</v>
      </c>
      <c r="H26" s="1">
        <f t="shared" si="3"/>
        <v>2.841577786891215E-3</v>
      </c>
      <c r="I26" s="1">
        <f t="shared" si="4"/>
        <v>0.27080025876816127</v>
      </c>
      <c r="J26" s="5">
        <v>0.64</v>
      </c>
      <c r="K26">
        <v>33</v>
      </c>
      <c r="N26" s="1"/>
      <c r="O26" s="1"/>
      <c r="Q26" s="1">
        <f t="shared" si="7"/>
        <v>129.46309014257719</v>
      </c>
      <c r="R26" s="1">
        <f t="shared" si="5"/>
        <v>1.7137302910464642</v>
      </c>
      <c r="S26" s="1"/>
    </row>
    <row r="27" spans="1:19" x14ac:dyDescent="0.15">
      <c r="A27" s="1">
        <v>1800000</v>
      </c>
      <c r="B27">
        <v>1.026E-3</v>
      </c>
      <c r="C27" s="1">
        <f t="shared" si="2"/>
        <v>2425.8760107816711</v>
      </c>
      <c r="D27">
        <v>63.7</v>
      </c>
      <c r="E27" s="1">
        <v>1</v>
      </c>
      <c r="F27" s="1">
        <v>0.04</v>
      </c>
      <c r="G27">
        <v>5.4</v>
      </c>
      <c r="H27" s="1">
        <f t="shared" si="3"/>
        <v>2.841577786891215E-3</v>
      </c>
      <c r="I27" s="1">
        <f t="shared" si="4"/>
        <v>0.36106701169088168</v>
      </c>
      <c r="J27" s="5">
        <v>0.64</v>
      </c>
      <c r="K27">
        <v>33</v>
      </c>
      <c r="N27" s="1"/>
      <c r="O27" s="1"/>
      <c r="Q27" s="1">
        <f t="shared" si="7"/>
        <v>129.46309014257719</v>
      </c>
      <c r="R27" s="1">
        <f t="shared" si="5"/>
        <v>1.7137302910464642</v>
      </c>
      <c r="S27" s="1"/>
    </row>
    <row r="28" spans="1:19" x14ac:dyDescent="0.15">
      <c r="A28" s="1">
        <v>1800000</v>
      </c>
      <c r="B28">
        <v>1.6980299999999999E-3</v>
      </c>
      <c r="C28" s="1">
        <f t="shared" si="2"/>
        <v>2425.8760107816711</v>
      </c>
      <c r="D28">
        <v>63.7</v>
      </c>
      <c r="E28" s="1">
        <v>1</v>
      </c>
      <c r="F28" s="1">
        <v>0.04</v>
      </c>
      <c r="G28">
        <v>5.4</v>
      </c>
      <c r="H28" s="1">
        <f t="shared" si="3"/>
        <v>2.841577786891215E-3</v>
      </c>
      <c r="I28" s="1">
        <f t="shared" si="4"/>
        <v>0.59756590434840917</v>
      </c>
      <c r="J28" s="5">
        <v>0.64</v>
      </c>
      <c r="K28">
        <v>33</v>
      </c>
      <c r="N28" s="1"/>
      <c r="O28" s="1"/>
      <c r="Q28" s="1">
        <f t="shared" si="7"/>
        <v>129.46309014257719</v>
      </c>
      <c r="R28" s="1">
        <f t="shared" si="5"/>
        <v>1.7137302910464642</v>
      </c>
      <c r="S28" s="1"/>
    </row>
    <row r="29" spans="1:19" x14ac:dyDescent="0.15">
      <c r="A29" s="1">
        <v>6000000</v>
      </c>
      <c r="B29">
        <v>1.026E-5</v>
      </c>
      <c r="C29" s="1">
        <f t="shared" si="2"/>
        <v>8086.2533692722373</v>
      </c>
      <c r="D29">
        <v>125</v>
      </c>
      <c r="E29" s="1">
        <v>1</v>
      </c>
      <c r="F29" s="1">
        <v>0.04</v>
      </c>
      <c r="G29">
        <v>5.56</v>
      </c>
      <c r="H29" s="1">
        <f t="shared" si="3"/>
        <v>1.5116078714107915E-3</v>
      </c>
      <c r="I29" s="1">
        <f t="shared" si="4"/>
        <v>6.7874745785917933E-3</v>
      </c>
      <c r="J29" s="5">
        <v>4.18</v>
      </c>
      <c r="K29">
        <v>33</v>
      </c>
      <c r="L29">
        <v>1.5623280999999999E-2</v>
      </c>
      <c r="N29" s="1">
        <f>L29*0.77/D29</f>
        <v>9.6239410959999996E-5</v>
      </c>
      <c r="O29" s="1">
        <f>N29/H29</f>
        <v>6.3666915726086584E-2</v>
      </c>
      <c r="P29">
        <v>1.6579458</v>
      </c>
      <c r="Q29" s="1">
        <f t="shared" si="7"/>
        <v>243.36962523759451</v>
      </c>
      <c r="R29" s="1">
        <f t="shared" si="5"/>
        <v>10.738450581576942</v>
      </c>
      <c r="S29" s="1">
        <f t="shared" si="6"/>
        <v>0.6453643746230564</v>
      </c>
    </row>
    <row r="30" spans="1:19" x14ac:dyDescent="0.15">
      <c r="A30" s="1">
        <v>6000000</v>
      </c>
      <c r="B30">
        <v>5.1300000000000007E-5</v>
      </c>
      <c r="C30" s="1">
        <f t="shared" si="2"/>
        <v>8086.2533692722373</v>
      </c>
      <c r="D30">
        <v>125</v>
      </c>
      <c r="E30" s="1">
        <v>1</v>
      </c>
      <c r="F30" s="1">
        <v>0.04</v>
      </c>
      <c r="G30">
        <v>5.56</v>
      </c>
      <c r="H30" s="1">
        <f t="shared" si="3"/>
        <v>1.5116078714107915E-3</v>
      </c>
      <c r="I30" s="1">
        <f t="shared" si="4"/>
        <v>3.3937372892958971E-2</v>
      </c>
      <c r="J30" s="5">
        <v>4.18</v>
      </c>
      <c r="K30">
        <v>33</v>
      </c>
      <c r="L30">
        <v>7.9499700000000006E-2</v>
      </c>
      <c r="N30" s="1">
        <f>L30*0.77/D30</f>
        <v>4.8971815200000003E-4</v>
      </c>
      <c r="O30" s="1">
        <f>N30/H30</f>
        <v>0.3239716868786503</v>
      </c>
      <c r="P30">
        <v>1.3579779000000001</v>
      </c>
      <c r="Q30" s="1">
        <f t="shared" si="7"/>
        <v>243.36962523759451</v>
      </c>
      <c r="R30" s="1">
        <f t="shared" si="5"/>
        <v>10.738450581576942</v>
      </c>
      <c r="S30" s="1">
        <f t="shared" si="6"/>
        <v>0.5286002462718814</v>
      </c>
    </row>
    <row r="31" spans="1:19" x14ac:dyDescent="0.15">
      <c r="A31" s="1">
        <v>6000000</v>
      </c>
      <c r="B31">
        <v>1.0260000000000001E-4</v>
      </c>
      <c r="C31" s="1">
        <f t="shared" si="2"/>
        <v>8086.2533692722373</v>
      </c>
      <c r="D31">
        <v>125</v>
      </c>
      <c r="E31" s="1">
        <v>1</v>
      </c>
      <c r="F31" s="1">
        <v>0.04</v>
      </c>
      <c r="G31">
        <v>5.56</v>
      </c>
      <c r="H31" s="1">
        <f t="shared" si="3"/>
        <v>1.5116078714107915E-3</v>
      </c>
      <c r="I31" s="1">
        <f t="shared" si="4"/>
        <v>6.7874745785917942E-2</v>
      </c>
      <c r="J31" s="5">
        <v>4.18</v>
      </c>
      <c r="K31">
        <v>33</v>
      </c>
      <c r="L31">
        <v>0.15857470000000001</v>
      </c>
      <c r="N31" s="1">
        <f>L31*0.77/D31</f>
        <v>9.7682015200000003E-4</v>
      </c>
      <c r="O31" s="1">
        <f>N31/H31</f>
        <v>0.64621266564874968</v>
      </c>
      <c r="P31">
        <v>1.9605572</v>
      </c>
      <c r="Q31" s="1">
        <f t="shared" si="7"/>
        <v>243.36962523759451</v>
      </c>
      <c r="R31" s="1">
        <f t="shared" si="5"/>
        <v>10.738450581576942</v>
      </c>
      <c r="S31" s="1">
        <f t="shared" si="6"/>
        <v>0.76315749965453061</v>
      </c>
    </row>
    <row r="32" spans="1:19" x14ac:dyDescent="0.15">
      <c r="A32" s="1">
        <v>6000000</v>
      </c>
      <c r="B32">
        <v>2.565E-4</v>
      </c>
      <c r="C32" s="1">
        <f t="shared" si="2"/>
        <v>8086.2533692722373</v>
      </c>
      <c r="D32">
        <v>125</v>
      </c>
      <c r="E32" s="1">
        <v>1</v>
      </c>
      <c r="F32" s="1">
        <v>0.04</v>
      </c>
      <c r="G32">
        <v>5.56</v>
      </c>
      <c r="H32" s="1">
        <f t="shared" si="3"/>
        <v>1.5116078714107915E-3</v>
      </c>
      <c r="I32" s="1">
        <f t="shared" si="4"/>
        <v>0.16968686446479483</v>
      </c>
      <c r="J32" s="5">
        <v>4.18</v>
      </c>
      <c r="K32">
        <v>33</v>
      </c>
      <c r="L32">
        <v>0.16865404000000001</v>
      </c>
      <c r="N32" s="1">
        <f>L32*0.77/D32</f>
        <v>1.0389088863999999E-3</v>
      </c>
      <c r="O32" s="1">
        <f>N32/H32</f>
        <v>0.68728729589796378</v>
      </c>
      <c r="P32">
        <v>1.475393</v>
      </c>
      <c r="Q32" s="1">
        <f t="shared" si="7"/>
        <v>243.36962523759451</v>
      </c>
      <c r="R32" s="1">
        <f t="shared" si="5"/>
        <v>10.738450581576942</v>
      </c>
      <c r="S32" s="1">
        <f t="shared" si="6"/>
        <v>0.57430470933864974</v>
      </c>
    </row>
    <row r="33" spans="1:15" x14ac:dyDescent="0.15">
      <c r="A33" s="1">
        <v>6000000</v>
      </c>
      <c r="B33">
        <v>7.695E-4</v>
      </c>
      <c r="C33" s="1">
        <f t="shared" si="2"/>
        <v>8086.2533692722373</v>
      </c>
      <c r="D33">
        <v>125</v>
      </c>
      <c r="E33" s="1">
        <v>1</v>
      </c>
      <c r="F33" s="1">
        <v>0.04</v>
      </c>
      <c r="G33">
        <v>5.56</v>
      </c>
      <c r="H33" s="1">
        <f t="shared" si="3"/>
        <v>1.5116078714107915E-3</v>
      </c>
      <c r="I33" s="1">
        <f t="shared" si="4"/>
        <v>0.50906059339438448</v>
      </c>
      <c r="J33" s="5">
        <v>4.18</v>
      </c>
      <c r="K33">
        <v>33</v>
      </c>
      <c r="N33" s="1"/>
      <c r="O33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l0 analysis</vt:lpstr>
      <vt:lpstr>Boger</vt:lpstr>
      <vt:lpstr>DEP</vt:lpstr>
      <vt:lpstr>PEO</vt:lpstr>
      <vt:lpstr>nk5k</vt:lpstr>
      <vt:lpstr>nk11k</vt:lpstr>
      <vt:lpstr>temp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Ranganathan</dc:creator>
  <cp:lastModifiedBy>Prabhakar Ranganathan</cp:lastModifiedBy>
  <dcterms:created xsi:type="dcterms:W3CDTF">2013-01-18T04:38:31Z</dcterms:created>
  <dcterms:modified xsi:type="dcterms:W3CDTF">2026-06-21T00:18:50Z</dcterms:modified>
</cp:coreProperties>
</file>